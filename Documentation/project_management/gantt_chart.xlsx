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prog\diss\Screenwriting-Project-Dissertation\Documentation\project_management\"/>
    </mc:Choice>
  </mc:AlternateContent>
  <xr:revisionPtr revIDLastSave="0" documentId="13_ncr:1_{63D66D13-2864-4692-8E10-D0D96FE76AB8}" xr6:coauthVersionLast="47" xr6:coauthVersionMax="47" xr10:uidLastSave="{00000000-0000-0000-0000-000000000000}"/>
  <bookViews>
    <workbookView xWindow="-108" yWindow="-108" windowWidth="23256" windowHeight="12456" xr2:uid="{00000000-000D-0000-FFFF-FFFF00000000}"/>
  </bookViews>
  <sheets>
    <sheet name="ProjectSchedule" sheetId="11" r:id="rId1"/>
    <sheet name="About" sheetId="12" r:id="rId2"/>
  </sheets>
  <definedNames>
    <definedName name="_xlnm.Print_Area" localSheetId="0">ProjectSchedule!$1:$46</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23" i="11" l="1"/>
  <c r="H17" i="11"/>
  <c r="H16" i="11"/>
  <c r="H15" i="11"/>
  <c r="H14" i="11"/>
  <c r="H12" i="11"/>
  <c r="H18" i="11"/>
  <c r="B13" i="12"/>
  <c r="J1" i="11"/>
  <c r="H46" i="11" l="1"/>
  <c r="H28" i="11"/>
  <c r="H27" i="11"/>
  <c r="H26" i="11"/>
  <c r="H25" i="11"/>
  <c r="H24" i="11"/>
  <c r="H22" i="11"/>
  <c r="H21" i="11"/>
  <c r="H20" i="11"/>
  <c r="H19" i="11"/>
  <c r="H13" i="11"/>
  <c r="H11" i="11"/>
  <c r="H10" i="11"/>
  <c r="H9" i="11"/>
  <c r="H8" i="11"/>
  <c r="H7" i="11"/>
  <c r="I5" i="11" l="1"/>
  <c r="I6" i="11" l="1"/>
  <c r="J5" i="11" l="1"/>
  <c r="K5" i="11" s="1"/>
  <c r="L5" i="11" s="1"/>
  <c r="M5" i="11" s="1"/>
  <c r="N5" i="11" s="1"/>
  <c r="O5" i="11" s="1"/>
  <c r="P5" i="11" s="1"/>
  <c r="I4" i="1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4" i="11" l="1"/>
  <c r="BM6" i="11"/>
  <c r="BN5" i="11"/>
  <c r="BL6" i="11"/>
  <c r="AG6" i="11"/>
  <c r="BN6" i="11" l="1"/>
  <c r="BO5" i="11"/>
  <c r="AH6" i="11"/>
  <c r="BO6" i="11" l="1"/>
  <c r="BP5" i="11"/>
  <c r="AI6" i="11"/>
  <c r="BP6" i="11" l="1"/>
  <c r="BQ5" i="11"/>
  <c r="AJ6" i="11"/>
  <c r="BQ6" i="11" l="1"/>
  <c r="BR5" i="11"/>
  <c r="AK6" i="11"/>
  <c r="BS5" i="11" l="1"/>
  <c r="BR6" i="11"/>
  <c r="AL6" i="11"/>
  <c r="BS6" i="11" l="1"/>
  <c r="BT5" i="11"/>
  <c r="AM6" i="11"/>
  <c r="BT4" i="11" l="1"/>
  <c r="BT6" i="11"/>
  <c r="BU5" i="11"/>
  <c r="AN6" i="11"/>
  <c r="BV5" i="11" l="1"/>
  <c r="BU6" i="11"/>
  <c r="AO6" i="11"/>
  <c r="BV6" i="11" l="1"/>
  <c r="BW5" i="11"/>
  <c r="AP6" i="11"/>
  <c r="BW6" i="11" l="1"/>
  <c r="BX5" i="11"/>
  <c r="AQ6" i="11"/>
  <c r="BX6" i="11" l="1"/>
  <c r="BY5" i="11"/>
  <c r="AR6" i="11"/>
  <c r="BY6" i="11" l="1"/>
  <c r="BZ5" i="11"/>
  <c r="CA5" i="11" l="1"/>
  <c r="BZ6" i="11"/>
  <c r="CB5" i="11" l="1"/>
  <c r="CA4" i="11"/>
  <c r="CA6" i="11"/>
  <c r="CB6" i="11" l="1"/>
  <c r="CC5" i="11"/>
  <c r="CC6" i="11" l="1"/>
  <c r="CD5" i="11"/>
  <c r="CE5" i="11" l="1"/>
  <c r="CD6" i="11"/>
  <c r="CF5" i="11" l="1"/>
  <c r="CE6" i="11"/>
  <c r="CG5" i="11" l="1"/>
  <c r="CF6" i="11"/>
  <c r="CG6" i="11" l="1"/>
  <c r="CH5" i="11"/>
  <c r="CI5" i="11" l="1"/>
  <c r="CH4" i="11"/>
  <c r="CH6" i="11"/>
  <c r="CJ5" i="11" l="1"/>
  <c r="CI6" i="11"/>
  <c r="CK5" i="11" l="1"/>
  <c r="CJ6" i="11"/>
  <c r="CL5" i="11" l="1"/>
  <c r="CK6" i="11"/>
  <c r="CM5" i="11" l="1"/>
  <c r="CL6" i="11"/>
  <c r="CN5" i="11" l="1"/>
  <c r="CM6" i="11"/>
  <c r="CO5" i="11" l="1"/>
  <c r="CN6" i="11"/>
  <c r="CO6" i="11" l="1"/>
  <c r="CP5" i="11"/>
  <c r="CO4" i="11"/>
  <c r="CP6" i="11" l="1"/>
  <c r="CQ5" i="11"/>
  <c r="CQ6" i="11" l="1"/>
  <c r="CR5" i="11"/>
  <c r="CR6" i="11" l="1"/>
  <c r="CS5" i="11"/>
  <c r="CT5" i="11" l="1"/>
  <c r="CS6" i="11"/>
  <c r="CU5" i="11" l="1"/>
  <c r="CT6" i="11"/>
  <c r="CU6" i="11" l="1"/>
  <c r="CV5" i="11"/>
  <c r="CV4" i="11" l="1"/>
  <c r="CV6" i="11"/>
  <c r="CW5" i="11"/>
  <c r="CW6" i="11" l="1"/>
  <c r="CX5" i="11"/>
  <c r="CY5" i="11" l="1"/>
  <c r="CX6" i="11"/>
  <c r="CY6" i="11" l="1"/>
  <c r="CZ5" i="11"/>
  <c r="DA5" i="11" l="1"/>
  <c r="CZ6" i="11"/>
  <c r="DA6" i="11" l="1"/>
  <c r="DB5" i="11"/>
  <c r="DC5" i="11" l="1"/>
  <c r="DB6" i="11"/>
  <c r="DC4" i="11" l="1"/>
  <c r="DD5" i="11"/>
  <c r="DC6" i="11"/>
  <c r="DD6" i="11" l="1"/>
  <c r="DE5" i="11"/>
  <c r="DF5" i="11" l="1"/>
  <c r="DE6" i="11"/>
  <c r="DG5" i="11" l="1"/>
  <c r="DF6" i="11"/>
  <c r="DH5" i="11" l="1"/>
  <c r="DG6" i="11"/>
  <c r="DI5" i="11" l="1"/>
  <c r="DH6" i="11"/>
  <c r="DI6" i="11" l="1"/>
  <c r="DJ5" i="11"/>
  <c r="DJ4" i="11" l="1"/>
  <c r="DJ6" i="11"/>
  <c r="DK5" i="11"/>
  <c r="DK6" i="11" l="1"/>
  <c r="DL5" i="11"/>
  <c r="DL6" i="11" l="1"/>
  <c r="DM5" i="11"/>
  <c r="DN5" i="11" l="1"/>
  <c r="DM6" i="11"/>
  <c r="DN6" i="11" l="1"/>
  <c r="DO5" i="11"/>
  <c r="DP5" i="11" l="1"/>
  <c r="DP6" i="11" s="1"/>
  <c r="DO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<sst xmlns="http://schemas.openxmlformats.org/spreadsheetml/2006/main" count="46" uniqueCount="43">
  <si>
    <t>Insert new rows ABOVE this one</t>
  </si>
  <si>
    <t>Project Start:</t>
  </si>
  <si>
    <t>PROGRESS</t>
  </si>
  <si>
    <t>Project Management Templates</t>
  </si>
  <si>
    <t>START</t>
  </si>
  <si>
    <t>END</t>
  </si>
  <si>
    <t>DAYS</t>
  </si>
  <si>
    <t>Display Week:</t>
  </si>
  <si>
    <t>TASK</t>
  </si>
  <si>
    <t>Phase 3 Title</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</si>
  <si>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</si>
  <si>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</si>
  <si>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</si>
  <si>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</si>
  <si>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</si>
  <si>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</si>
  <si>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</si>
  <si>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</si>
  <si>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</si>
  <si>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</si>
  <si>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</si>
  <si>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</si>
  <si>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Today:</t>
  </si>
  <si>
    <t>© 2018-2019 Vertex42 LLC</t>
  </si>
  <si>
    <t>General Screenwriting Research</t>
  </si>
  <si>
    <t>Final Draft Research</t>
  </si>
  <si>
    <t>Celx Research</t>
  </si>
  <si>
    <t>Screenwriting Project Gantt Chart</t>
  </si>
  <si>
    <t>Fade In Research</t>
  </si>
  <si>
    <t>Arc Studio Research</t>
  </si>
  <si>
    <t>Survey</t>
  </si>
  <si>
    <t>Test Project</t>
  </si>
  <si>
    <t>Goals and Objectives</t>
  </si>
  <si>
    <t>Phase 2</t>
  </si>
  <si>
    <t>Phase 1</t>
  </si>
  <si>
    <t>Project Skeleton</t>
  </si>
  <si>
    <t>Report</t>
  </si>
  <si>
    <t>First Report Deadline</t>
  </si>
  <si>
    <t>Scrivener Research</t>
  </si>
  <si>
    <t>Increment #1 (Model Layer)</t>
  </si>
  <si>
    <t>Increment #2 (ViewModel + OSF)</t>
  </si>
  <si>
    <t>Increment #3 (ScriptEditor + Scene Navigator)</t>
  </si>
  <si>
    <t>Increment #4 (Pdf Export + Bug Fixes)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</si>
</sst>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ddd\,\ m/d/yyyy"/>
    <numFmt numFmtId="166" formatCode="mmm\ d\,\ yyyy"/>
    <numFmt numFmtId="167" formatCode="d"/>
  </numFmts>
  <fonts count="30"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s>
  <fills count="1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0"/>
        <bgColor indexed="64"/>
      </patternFill>
    </fill>
    <fill>
      <patternFill patternType="solid">
        <fgColor rgb="FFFF0000"/>
        <bgColor indexed="64"/>
      </patternFill>
    </fill>
    <fill>
      <patternFill patternType="solid">
        <fgColor theme="5" tint="0.39997558519241921"/>
        <bgColor indexed="6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cellStyleXfs>
  <cellXfs count="9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9" fillId="0" borderId="0" xfId="0" applyFont="1" applyAlignment="1">
      <alignment vertical="center"/>
    </xf>
    <xf numFmtId="0" fontId="11" fillId="0" borderId="0" xfId="0" applyFont="1"/>
    <xf numFmtId="0" fontId="7" fillId="11" borderId="1" xfId="0" applyFont="1" applyFill="1" applyBorder="1" applyAlignment="1">
      <alignment horizontal="left" vertical="center" indent="1"/>
    </xf>
    <xf numFmtId="0" fontId="7" fillId="11" borderId="1" xfId="0" applyFont="1" applyFill="1" applyBorder="1" applyAlignment="1">
      <alignment horizontal="center" vertical="center" wrapText="1"/>
    </xf>
    <xf numFmtId="167" fontId="12" fillId="6" borderId="0" xfId="0" applyNumberFormat="1" applyFont="1" applyFill="1" applyAlignment="1">
      <alignment horizontal="center" vertical="center"/>
    </xf>
    <xf numFmtId="167" fontId="12" fillId="6" borderId="8" xfId="0" applyNumberFormat="1" applyFont="1" applyFill="1" applyBorder="1" applyAlignment="1">
      <alignment horizontal="center" vertical="center"/>
    </xf>
    <xf numFmtId="167" fontId="12" fillId="6" borderId="9" xfId="0" applyNumberFormat="1" applyFont="1" applyFill="1" applyBorder="1" applyAlignment="1">
      <alignment horizontal="center" vertical="center"/>
    </xf>
    <xf numFmtId="0" fontId="15" fillId="10" borderId="10" xfId="0" applyFont="1" applyFill="1" applyBorder="1" applyAlignment="1">
      <alignment horizontal="center" vertical="center" shrinkToFit="1"/>
    </xf>
    <xf numFmtId="0" fontId="16" fillId="0" borderId="0" xfId="0" applyFont="1" applyAlignment="1">
      <alignment horizontal="left"/>
    </xf>
    <xf numFmtId="0" fontId="17" fillId="0" borderId="0" xfId="0" applyFont="1"/>
    <xf numFmtId="0" fontId="18" fillId="0" borderId="0" xfId="1" applyFont="1" applyAlignment="1" applyProtection="1"/>
    <xf numFmtId="0" fontId="19"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5" fillId="0" borderId="2" xfId="2" applyFont="1" applyFill="1" applyBorder="1" applyAlignment="1">
      <alignment horizontal="center" vertical="center"/>
    </xf>
    <xf numFmtId="164" fontId="0" fillId="0" borderId="2" xfId="0" applyNumberForma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6" fillId="7" borderId="2" xfId="0" applyFont="1" applyFill="1" applyBorder="1" applyAlignment="1">
      <alignment horizontal="left" vertical="center" indent="1"/>
    </xf>
    <xf numFmtId="0" fontId="6" fillId="7" borderId="2" xfId="0" applyFont="1" applyFill="1" applyBorder="1" applyAlignment="1">
      <alignment horizontal="center" vertical="center"/>
    </xf>
    <xf numFmtId="9" fontId="5" fillId="7" borderId="2" xfId="2" applyFont="1" applyFill="1" applyBorder="1" applyAlignment="1">
      <alignment horizontal="center" vertical="center"/>
    </xf>
    <xf numFmtId="164" fontId="0" fillId="7" borderId="2" xfId="0" applyNumberFormat="1" applyFill="1" applyBorder="1" applyAlignment="1">
      <alignment horizontal="center" vertical="center"/>
    </xf>
    <xf numFmtId="164" fontId="5" fillId="7" borderId="2" xfId="0" applyNumberFormat="1" applyFont="1" applyFill="1" applyBorder="1" applyAlignment="1">
      <alignment horizontal="center" vertical="center"/>
    </xf>
    <xf numFmtId="0" fontId="0" fillId="3" borderId="2" xfId="0" applyFill="1" applyBorder="1" applyAlignment="1">
      <alignment horizontal="left" vertical="center" indent="2"/>
    </xf>
    <xf numFmtId="0" fontId="0" fillId="3" borderId="2" xfId="0" applyFill="1" applyBorder="1" applyAlignment="1">
      <alignment horizontal="center" vertical="center"/>
    </xf>
    <xf numFmtId="9" fontId="5" fillId="3" borderId="2" xfId="2" applyFont="1" applyFill="1" applyBorder="1" applyAlignment="1">
      <alignment horizontal="center" vertical="center"/>
    </xf>
    <xf numFmtId="164" fontId="0" fillId="3" borderId="2" xfId="0" applyNumberFormat="1" applyFill="1" applyBorder="1" applyAlignment="1">
      <alignment horizontal="center" vertical="center"/>
    </xf>
    <xf numFmtId="164" fontId="5" fillId="3" borderId="2" xfId="0" applyNumberFormat="1" applyFont="1" applyFill="1" applyBorder="1" applyAlignment="1">
      <alignment horizontal="center" vertical="center"/>
    </xf>
    <xf numFmtId="0" fontId="6" fillId="8" borderId="2" xfId="0" applyFont="1" applyFill="1" applyBorder="1" applyAlignment="1">
      <alignment horizontal="left" vertical="center" indent="1"/>
    </xf>
    <xf numFmtId="0" fontId="6" fillId="8" borderId="2" xfId="0" applyFont="1" applyFill="1" applyBorder="1" applyAlignment="1">
      <alignment horizontal="center" vertical="center"/>
    </xf>
    <xf numFmtId="9" fontId="5" fillId="8" borderId="2" xfId="2" applyFont="1" applyFill="1" applyBorder="1" applyAlignment="1">
      <alignment horizontal="center" vertical="center"/>
    </xf>
    <xf numFmtId="164" fontId="0" fillId="8" borderId="2" xfId="0" applyNumberFormat="1" applyFill="1" applyBorder="1" applyAlignment="1">
      <alignment horizontal="center" vertical="center"/>
    </xf>
    <xf numFmtId="164" fontId="5" fillId="8" borderId="2" xfId="0" applyNumberFormat="1" applyFont="1" applyFill="1" applyBorder="1" applyAlignment="1">
      <alignment horizontal="center" vertical="center"/>
    </xf>
    <xf numFmtId="0" fontId="0" fillId="4" borderId="2" xfId="0" applyFill="1" applyBorder="1" applyAlignment="1">
      <alignment horizontal="left" vertical="center" indent="2"/>
    </xf>
    <xf numFmtId="0" fontId="0" fillId="4" borderId="2" xfId="0" applyFill="1" applyBorder="1" applyAlignment="1">
      <alignment horizontal="center" vertical="center"/>
    </xf>
    <xf numFmtId="9" fontId="5" fillId="4" borderId="2" xfId="2" applyFont="1" applyFill="1" applyBorder="1" applyAlignment="1">
      <alignment horizontal="center" vertical="center"/>
    </xf>
    <xf numFmtId="164" fontId="0" fillId="4" borderId="2" xfId="0" applyNumberFormat="1" applyFill="1" applyBorder="1" applyAlignment="1">
      <alignment horizontal="center" vertical="center"/>
    </xf>
    <xf numFmtId="164" fontId="5" fillId="4" borderId="2" xfId="0" applyNumberFormat="1" applyFont="1" applyFill="1" applyBorder="1" applyAlignment="1">
      <alignment horizontal="center" vertical="center"/>
    </xf>
    <xf numFmtId="0" fontId="6" fillId="5" borderId="2" xfId="0" applyFont="1" applyFill="1" applyBorder="1" applyAlignment="1">
      <alignment horizontal="left" vertical="center" indent="1"/>
    </xf>
    <xf numFmtId="0" fontId="6" fillId="5" borderId="2" xfId="0" applyFont="1" applyFill="1" applyBorder="1" applyAlignment="1">
      <alignment horizontal="center" vertical="center"/>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0" fontId="0" fillId="9" borderId="2" xfId="0" applyFill="1" applyBorder="1" applyAlignment="1">
      <alignment horizontal="left" vertical="center" indent="2"/>
    </xf>
    <xf numFmtId="0" fontId="0" fillId="9" borderId="2" xfId="0" applyFill="1" applyBorder="1" applyAlignment="1">
      <alignment horizontal="center" vertical="center"/>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2" borderId="11" xfId="0" applyFill="1" applyBorder="1" applyAlignment="1">
      <alignment vertical="center"/>
    </xf>
    <xf numFmtId="0" fontId="2" fillId="0" borderId="0" xfId="0" applyFont="1" applyAlignment="1">
      <alignment vertical="top"/>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 fillId="0" borderId="0" xfId="0" applyFont="1" applyAlignment="1">
      <alignment horizontal="left" vertical="center"/>
    </xf>
    <xf numFmtId="0" fontId="23" fillId="0" borderId="0" xfId="0" applyFont="1"/>
    <xf numFmtId="0" fontId="24" fillId="0" borderId="0" xfId="0" applyFont="1" applyAlignment="1">
      <alignment vertical="top" wrapText="1"/>
    </xf>
    <xf numFmtId="0" fontId="25" fillId="0" borderId="0" xfId="0" applyFont="1" applyAlignment="1">
      <alignment vertical="center"/>
    </xf>
    <xf numFmtId="0" fontId="24" fillId="0" borderId="0" xfId="0" applyFont="1" applyAlignment="1">
      <alignment horizontal="left" vertical="top" wrapText="1" indent="1"/>
    </xf>
    <xf numFmtId="0" fontId="3" fillId="0" borderId="0" xfId="1" applyAlignment="1" applyProtection="1">
      <alignment horizontal="left" indent="1"/>
    </xf>
    <xf numFmtId="14" fontId="26" fillId="0" borderId="0" xfId="0" applyNumberFormat="1" applyFont="1" applyAlignment="1">
      <alignment horizontal="center"/>
    </xf>
    <xf numFmtId="0" fontId="2" fillId="0" borderId="0" xfId="0" applyFont="1" applyAlignment="1">
      <alignment horizontal="right" vertical="center"/>
    </xf>
    <xf numFmtId="0" fontId="27" fillId="0" borderId="0" xfId="0" applyFont="1" applyAlignment="1">
      <alignment vertical="top"/>
    </xf>
    <xf numFmtId="0" fontId="28" fillId="0" borderId="0" xfId="0" applyFont="1"/>
    <xf numFmtId="0" fontId="28" fillId="0" borderId="0" xfId="1" applyFont="1" applyAlignment="1" applyProtection="1"/>
    <xf numFmtId="0" fontId="3" fillId="0" borderId="0" xfId="1" applyFill="1" applyAlignment="1" applyProtection="1">
      <alignment horizontal="left" indent="1"/>
    </xf>
    <xf numFmtId="0" fontId="6" fillId="12" borderId="2" xfId="0" applyFont="1" applyFill="1" applyBorder="1" applyAlignment="1">
      <alignment horizontal="left" vertical="center" indent="1"/>
    </xf>
    <xf numFmtId="0" fontId="6" fillId="12" borderId="2" xfId="0" applyFont="1" applyFill="1" applyBorder="1" applyAlignment="1">
      <alignment horizontal="center" vertical="center"/>
    </xf>
    <xf numFmtId="9" fontId="5" fillId="12" borderId="2" xfId="2" applyFont="1" applyFill="1" applyBorder="1" applyAlignment="1">
      <alignment horizontal="center" vertical="center"/>
    </xf>
    <xf numFmtId="164" fontId="0" fillId="12" borderId="2" xfId="0" applyNumberFormat="1" applyFill="1" applyBorder="1" applyAlignment="1">
      <alignment horizontal="center" vertical="center"/>
    </xf>
    <xf numFmtId="164" fontId="5" fillId="12" borderId="2" xfId="0" applyNumberFormat="1" applyFont="1" applyFill="1" applyBorder="1" applyAlignment="1">
      <alignment horizontal="center" vertical="center"/>
    </xf>
    <xf numFmtId="0" fontId="0" fillId="12" borderId="2" xfId="0" applyFill="1" applyBorder="1" applyAlignment="1">
      <alignment horizontal="left" vertical="center" indent="2"/>
    </xf>
    <xf numFmtId="0" fontId="0" fillId="12" borderId="2" xfId="0" applyFill="1" applyBorder="1" applyAlignment="1">
      <alignment horizontal="center" vertical="center"/>
    </xf>
    <xf numFmtId="0" fontId="0" fillId="13" borderId="11" xfId="0" applyFill="1" applyBorder="1" applyAlignment="1">
      <alignment vertical="center"/>
    </xf>
    <xf numFmtId="0" fontId="0" fillId="7" borderId="11" xfId="0" applyFill="1" applyBorder="1" applyAlignment="1">
      <alignment vertical="center"/>
    </xf>
    <xf numFmtId="0" fontId="0" fillId="14" borderId="11" xfId="0" applyFill="1" applyBorder="1" applyAlignment="1">
      <alignment vertical="center"/>
    </xf>
    <xf numFmtId="0" fontId="29" fillId="0" borderId="0" xfId="1" applyFont="1" applyAlignment="1" applyProtection="1">
      <alignment horizontal="left" vertical="center"/>
    </xf>
    <xf numFmtId="166" fontId="0" fillId="6" borderId="6" xfId="0" applyNumberFormat="1" applyFill="1" applyBorder="1" applyAlignment="1">
      <alignment horizontal="left" vertical="center" wrapText="1" indent="1"/>
    </xf>
    <xf numFmtId="166" fontId="0" fillId="6" borderId="1" xfId="0" applyNumberFormat="1" applyFill="1" applyBorder="1" applyAlignment="1">
      <alignment horizontal="left" vertical="center" wrapText="1" indent="1"/>
    </xf>
    <xf numFmtId="166" fontId="0" fillId="6" borderId="7" xfId="0" applyNumberFormat="1" applyFill="1" applyBorder="1" applyAlignment="1">
      <alignment horizontal="left" vertical="center" wrapText="1" indent="1"/>
    </xf>
    <xf numFmtId="165" fontId="0" fillId="0" borderId="4" xfId="0" applyNumberFormat="1" applyBorder="1" applyAlignment="1">
      <alignment horizontal="center" vertical="center"/>
    </xf>
    <xf numFmtId="165" fontId="0" fillId="0" borderId="5" xfId="0" applyNumberFormat="1" applyBorder="1" applyAlignment="1">
      <alignment horizontal="center" vertical="center"/>
    </xf>
  </cellXfs>
  <cellStyles count="3">
    <cellStyle name="Hyperlink" xfId="1" builtinId="8" customBuiltin="1"/>
    <cellStyle name="Normal" xfId="0" builtinId="0"/>
    <cellStyle name="Percent" xfId="2" builtinId="5"/>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P50"/>
  <sheetViews>
    <sheetView showGridLines="0" tabSelected="1" showRuler="0" zoomScale="70" zoomScaleNormal="70" zoomScalePageLayoutView="70" workbookViewId="0">
      <pane ySplit="6" topLeftCell="A10" activePane="bottomLeft" state="frozen"/>
      <selection pane="bottomLeft" activeCell="E2" sqref="E2:F2"/>
    </sheetView>
  </sheetViews>
  <sheetFormatPr defaultRowHeight="14.4" x14ac:dyDescent="0.3"/>
  <cols>
    <col min="1" max="1" width="2.6640625" customWidth="1"/>
    <col min="2" max="2" width="19.88671875" customWidth="1"/>
    <col min="3" max="3" width="9.109375" customWidth="1"/>
    <col min="4" max="4" width="10.6640625" customWidth="1"/>
    <col min="5" max="5" width="10.44140625" style="5" customWidth="1"/>
    <col min="6" max="6" width="10.44140625" customWidth="1"/>
    <col min="7" max="7" width="2.6640625" customWidth="1"/>
    <col min="8" max="8" width="6.109375" hidden="1" customWidth="1"/>
    <col min="9" max="120" width="2.5546875" customWidth="1"/>
  </cols>
  <sheetData>
    <row r="1" spans="1:120" ht="28.8" x14ac:dyDescent="0.55000000000000004">
      <c r="B1" s="16" t="s">
        <v>27</v>
      </c>
      <c r="C1" s="1"/>
      <c r="D1" s="2"/>
      <c r="E1" s="4"/>
      <c r="F1" s="76"/>
      <c r="H1" s="2"/>
      <c r="I1" s="8"/>
      <c r="J1" s="91" t="str">
        <f>HYPERLINK("https://vertex42.link/HowToMakeAGanttChart","► Watch How to Make a Gantt Chart in Excel")</f>
        <v>► Watch How to Make a Gantt Chart in Excel</v>
      </c>
      <c r="K1" s="91"/>
      <c r="L1" s="91"/>
      <c r="M1" s="91"/>
      <c r="N1" s="91"/>
      <c r="O1" s="91"/>
      <c r="P1" s="91"/>
      <c r="Q1" s="91"/>
      <c r="R1" s="91"/>
      <c r="S1" s="91"/>
      <c r="T1" s="91"/>
      <c r="U1" s="91"/>
      <c r="V1" s="91"/>
      <c r="W1" s="91"/>
      <c r="X1" s="91"/>
      <c r="Y1" s="91"/>
      <c r="Z1" s="91"/>
      <c r="AA1" s="91"/>
    </row>
    <row r="2" spans="1:120" ht="19.5" customHeight="1" x14ac:dyDescent="0.35">
      <c r="B2" s="9"/>
      <c r="D2" s="6" t="s">
        <v>1</v>
      </c>
      <c r="E2" s="95">
        <v>46041</v>
      </c>
      <c r="F2" s="96"/>
    </row>
    <row r="3" spans="1:120" ht="19.5" customHeight="1" x14ac:dyDescent="0.35">
      <c r="B3" s="9"/>
      <c r="D3" s="6" t="s">
        <v>22</v>
      </c>
      <c r="E3" s="95">
        <v>46140</v>
      </c>
      <c r="F3" s="96"/>
    </row>
    <row r="4" spans="1:120" ht="19.5" customHeight="1" x14ac:dyDescent="0.3">
      <c r="D4" s="6" t="s">
        <v>7</v>
      </c>
      <c r="E4" s="7">
        <v>1</v>
      </c>
      <c r="I4" s="92">
        <f>I5</f>
        <v>46041</v>
      </c>
      <c r="J4" s="93"/>
      <c r="K4" s="93"/>
      <c r="L4" s="93"/>
      <c r="M4" s="93"/>
      <c r="N4" s="93"/>
      <c r="O4" s="94"/>
      <c r="P4" s="92">
        <f>P5</f>
        <v>46048</v>
      </c>
      <c r="Q4" s="93"/>
      <c r="R4" s="93"/>
      <c r="S4" s="93"/>
      <c r="T4" s="93"/>
      <c r="U4" s="93"/>
      <c r="V4" s="94"/>
      <c r="W4" s="92">
        <f>W5</f>
        <v>46055</v>
      </c>
      <c r="X4" s="93"/>
      <c r="Y4" s="93"/>
      <c r="Z4" s="93"/>
      <c r="AA4" s="93"/>
      <c r="AB4" s="93"/>
      <c r="AC4" s="94"/>
      <c r="AD4" s="92">
        <f>AD5</f>
        <v>46062</v>
      </c>
      <c r="AE4" s="93"/>
      <c r="AF4" s="93"/>
      <c r="AG4" s="93"/>
      <c r="AH4" s="93"/>
      <c r="AI4" s="93"/>
      <c r="AJ4" s="94"/>
      <c r="AK4" s="92">
        <f>AK5</f>
        <v>46069</v>
      </c>
      <c r="AL4" s="93"/>
      <c r="AM4" s="93"/>
      <c r="AN4" s="93"/>
      <c r="AO4" s="93"/>
      <c r="AP4" s="93"/>
      <c r="AQ4" s="94"/>
      <c r="AR4" s="92">
        <f>AR5</f>
        <v>46076</v>
      </c>
      <c r="AS4" s="93"/>
      <c r="AT4" s="93"/>
      <c r="AU4" s="93"/>
      <c r="AV4" s="93"/>
      <c r="AW4" s="93"/>
      <c r="AX4" s="94"/>
      <c r="AY4" s="92">
        <f>AY5</f>
        <v>46083</v>
      </c>
      <c r="AZ4" s="93"/>
      <c r="BA4" s="93"/>
      <c r="BB4" s="93"/>
      <c r="BC4" s="93"/>
      <c r="BD4" s="93"/>
      <c r="BE4" s="94"/>
      <c r="BF4" s="92">
        <f>BF5</f>
        <v>46090</v>
      </c>
      <c r="BG4" s="93"/>
      <c r="BH4" s="93"/>
      <c r="BI4" s="93"/>
      <c r="BJ4" s="93"/>
      <c r="BK4" s="93"/>
      <c r="BL4" s="94"/>
      <c r="BM4" s="92">
        <f>BM5</f>
        <v>46097</v>
      </c>
      <c r="BN4" s="93"/>
      <c r="BO4" s="93"/>
      <c r="BP4" s="93"/>
      <c r="BQ4" s="93"/>
      <c r="BR4" s="93"/>
      <c r="BS4" s="94"/>
      <c r="BT4" s="92">
        <f>BT5</f>
        <v>46104</v>
      </c>
      <c r="BU4" s="93"/>
      <c r="BV4" s="93"/>
      <c r="BW4" s="93"/>
      <c r="BX4" s="93"/>
      <c r="BY4" s="93"/>
      <c r="BZ4" s="94"/>
      <c r="CA4" s="92">
        <f>CA5</f>
        <v>46111</v>
      </c>
      <c r="CB4" s="93"/>
      <c r="CC4" s="93"/>
      <c r="CD4" s="93"/>
      <c r="CE4" s="93"/>
      <c r="CF4" s="93"/>
      <c r="CG4" s="94"/>
      <c r="CH4" s="92">
        <f t="shared" ref="CH4" si="0">CH5</f>
        <v>46118</v>
      </c>
      <c r="CI4" s="93"/>
      <c r="CJ4" s="93"/>
      <c r="CK4" s="93"/>
      <c r="CL4" s="93"/>
      <c r="CM4" s="93"/>
      <c r="CN4" s="94"/>
      <c r="CO4" s="92">
        <f t="shared" ref="CO4" si="1">CO5</f>
        <v>46125</v>
      </c>
      <c r="CP4" s="93"/>
      <c r="CQ4" s="93"/>
      <c r="CR4" s="93"/>
      <c r="CS4" s="93"/>
      <c r="CT4" s="93"/>
      <c r="CU4" s="94"/>
      <c r="CV4" s="92">
        <f t="shared" ref="CV4" si="2">CV5</f>
        <v>46132</v>
      </c>
      <c r="CW4" s="93"/>
      <c r="CX4" s="93"/>
      <c r="CY4" s="93"/>
      <c r="CZ4" s="93"/>
      <c r="DA4" s="93"/>
      <c r="DB4" s="94"/>
      <c r="DC4" s="92">
        <f t="shared" ref="DC4" si="3">DC5</f>
        <v>46139</v>
      </c>
      <c r="DD4" s="93"/>
      <c r="DE4" s="93"/>
      <c r="DF4" s="93"/>
      <c r="DG4" s="93"/>
      <c r="DH4" s="93"/>
      <c r="DI4" s="94"/>
      <c r="DJ4" s="92">
        <f t="shared" ref="DJ4" si="4">DJ5</f>
        <v>46146</v>
      </c>
      <c r="DK4" s="93"/>
      <c r="DL4" s="93"/>
      <c r="DM4" s="93"/>
      <c r="DN4" s="93"/>
      <c r="DO4" s="93"/>
      <c r="DP4" s="94"/>
    </row>
    <row r="5" spans="1:120" x14ac:dyDescent="0.3">
      <c r="A5" s="6"/>
      <c r="G5" s="6"/>
      <c r="I5" s="13">
        <f>E2-WEEKDAY(E2,1)+2+7*(E4-1)</f>
        <v>46041</v>
      </c>
      <c r="J5" s="12">
        <f>I5+1</f>
        <v>46042</v>
      </c>
      <c r="K5" s="12">
        <f t="shared" ref="K5:AX5" si="5">J5+1</f>
        <v>46043</v>
      </c>
      <c r="L5" s="12">
        <f t="shared" si="5"/>
        <v>46044</v>
      </c>
      <c r="M5" s="12">
        <f t="shared" si="5"/>
        <v>46045</v>
      </c>
      <c r="N5" s="12">
        <f t="shared" si="5"/>
        <v>46046</v>
      </c>
      <c r="O5" s="14">
        <f t="shared" si="5"/>
        <v>46047</v>
      </c>
      <c r="P5" s="13">
        <f>O5+1</f>
        <v>46048</v>
      </c>
      <c r="Q5" s="12">
        <f>P5+1</f>
        <v>46049</v>
      </c>
      <c r="R5" s="12">
        <f t="shared" si="5"/>
        <v>46050</v>
      </c>
      <c r="S5" s="12">
        <f t="shared" si="5"/>
        <v>46051</v>
      </c>
      <c r="T5" s="12">
        <f t="shared" si="5"/>
        <v>46052</v>
      </c>
      <c r="U5" s="12">
        <f t="shared" si="5"/>
        <v>46053</v>
      </c>
      <c r="V5" s="14">
        <f t="shared" si="5"/>
        <v>46054</v>
      </c>
      <c r="W5" s="13">
        <f>V5+1</f>
        <v>46055</v>
      </c>
      <c r="X5" s="12">
        <f>W5+1</f>
        <v>46056</v>
      </c>
      <c r="Y5" s="12">
        <f t="shared" si="5"/>
        <v>46057</v>
      </c>
      <c r="Z5" s="12">
        <f t="shared" si="5"/>
        <v>46058</v>
      </c>
      <c r="AA5" s="12">
        <f t="shared" si="5"/>
        <v>46059</v>
      </c>
      <c r="AB5" s="12">
        <f t="shared" si="5"/>
        <v>46060</v>
      </c>
      <c r="AC5" s="14">
        <f t="shared" si="5"/>
        <v>46061</v>
      </c>
      <c r="AD5" s="13">
        <f>AC5+1</f>
        <v>46062</v>
      </c>
      <c r="AE5" s="12">
        <f>AD5+1</f>
        <v>46063</v>
      </c>
      <c r="AF5" s="12">
        <f t="shared" si="5"/>
        <v>46064</v>
      </c>
      <c r="AG5" s="12">
        <f t="shared" si="5"/>
        <v>46065</v>
      </c>
      <c r="AH5" s="12">
        <f t="shared" si="5"/>
        <v>46066</v>
      </c>
      <c r="AI5" s="12">
        <f t="shared" si="5"/>
        <v>46067</v>
      </c>
      <c r="AJ5" s="14">
        <f t="shared" si="5"/>
        <v>46068</v>
      </c>
      <c r="AK5" s="13">
        <f>AJ5+1</f>
        <v>46069</v>
      </c>
      <c r="AL5" s="12">
        <f>AK5+1</f>
        <v>46070</v>
      </c>
      <c r="AM5" s="12">
        <f t="shared" si="5"/>
        <v>46071</v>
      </c>
      <c r="AN5" s="12">
        <f t="shared" si="5"/>
        <v>46072</v>
      </c>
      <c r="AO5" s="12">
        <f t="shared" si="5"/>
        <v>46073</v>
      </c>
      <c r="AP5" s="12">
        <f t="shared" si="5"/>
        <v>46074</v>
      </c>
      <c r="AQ5" s="14">
        <f t="shared" si="5"/>
        <v>46075</v>
      </c>
      <c r="AR5" s="13">
        <f>AQ5+1</f>
        <v>46076</v>
      </c>
      <c r="AS5" s="12">
        <f>AR5+1</f>
        <v>46077</v>
      </c>
      <c r="AT5" s="12">
        <f t="shared" si="5"/>
        <v>46078</v>
      </c>
      <c r="AU5" s="12">
        <f t="shared" si="5"/>
        <v>46079</v>
      </c>
      <c r="AV5" s="12">
        <f t="shared" si="5"/>
        <v>46080</v>
      </c>
      <c r="AW5" s="12">
        <f t="shared" si="5"/>
        <v>46081</v>
      </c>
      <c r="AX5" s="14">
        <f t="shared" si="5"/>
        <v>46082</v>
      </c>
      <c r="AY5" s="13">
        <f>AX5+1</f>
        <v>46083</v>
      </c>
      <c r="AZ5" s="12">
        <f>AY5+1</f>
        <v>46084</v>
      </c>
      <c r="BA5" s="12">
        <f t="shared" ref="BA5:BE5" si="6">AZ5+1</f>
        <v>46085</v>
      </c>
      <c r="BB5" s="12">
        <f t="shared" si="6"/>
        <v>46086</v>
      </c>
      <c r="BC5" s="12">
        <f t="shared" si="6"/>
        <v>46087</v>
      </c>
      <c r="BD5" s="12">
        <f t="shared" si="6"/>
        <v>46088</v>
      </c>
      <c r="BE5" s="14">
        <f t="shared" si="6"/>
        <v>46089</v>
      </c>
      <c r="BF5" s="13">
        <f>BE5+1</f>
        <v>46090</v>
      </c>
      <c r="BG5" s="12">
        <f>BF5+1</f>
        <v>46091</v>
      </c>
      <c r="BH5" s="12">
        <f t="shared" ref="BH5:BL5" si="7">BG5+1</f>
        <v>46092</v>
      </c>
      <c r="BI5" s="12">
        <f t="shared" si="7"/>
        <v>46093</v>
      </c>
      <c r="BJ5" s="12">
        <f t="shared" si="7"/>
        <v>46094</v>
      </c>
      <c r="BK5" s="12">
        <f t="shared" si="7"/>
        <v>46095</v>
      </c>
      <c r="BL5" s="14">
        <f t="shared" si="7"/>
        <v>46096</v>
      </c>
      <c r="BM5" s="13">
        <f>BL5+1</f>
        <v>46097</v>
      </c>
      <c r="BN5" s="12">
        <f>BM5+1</f>
        <v>46098</v>
      </c>
      <c r="BO5" s="12">
        <f t="shared" ref="BO5" si="8">BN5+1</f>
        <v>46099</v>
      </c>
      <c r="BP5" s="12">
        <f t="shared" ref="BP5" si="9">BO5+1</f>
        <v>46100</v>
      </c>
      <c r="BQ5" s="12">
        <f t="shared" ref="BQ5" si="10">BP5+1</f>
        <v>46101</v>
      </c>
      <c r="BR5" s="12">
        <f t="shared" ref="BR5" si="11">BQ5+1</f>
        <v>46102</v>
      </c>
      <c r="BS5" s="14">
        <f t="shared" ref="BS5" si="12">BR5+1</f>
        <v>46103</v>
      </c>
      <c r="BT5" s="13">
        <f>BS5+1</f>
        <v>46104</v>
      </c>
      <c r="BU5" s="12">
        <f>BT5+1</f>
        <v>46105</v>
      </c>
      <c r="BV5" s="12">
        <f t="shared" ref="BV5" si="13">BU5+1</f>
        <v>46106</v>
      </c>
      <c r="BW5" s="12">
        <f t="shared" ref="BW5" si="14">BV5+1</f>
        <v>46107</v>
      </c>
      <c r="BX5" s="12">
        <f t="shared" ref="BX5" si="15">BW5+1</f>
        <v>46108</v>
      </c>
      <c r="BY5" s="12">
        <f t="shared" ref="BY5" si="16">BX5+1</f>
        <v>46109</v>
      </c>
      <c r="BZ5" s="14">
        <f t="shared" ref="BZ5" si="17">BY5+1</f>
        <v>46110</v>
      </c>
      <c r="CA5" s="13">
        <f>BZ5+1</f>
        <v>46111</v>
      </c>
      <c r="CB5" s="12">
        <f>CA5+1</f>
        <v>46112</v>
      </c>
      <c r="CC5" s="12">
        <f t="shared" ref="CC5" si="18">CB5+1</f>
        <v>46113</v>
      </c>
      <c r="CD5" s="12">
        <f t="shared" ref="CD5" si="19">CC5+1</f>
        <v>46114</v>
      </c>
      <c r="CE5" s="12">
        <f t="shared" ref="CE5" si="20">CD5+1</f>
        <v>46115</v>
      </c>
      <c r="CF5" s="12">
        <f t="shared" ref="CF5" si="21">CE5+1</f>
        <v>46116</v>
      </c>
      <c r="CG5" s="14">
        <f t="shared" ref="CG5:CI5" si="22">CF5+1</f>
        <v>46117</v>
      </c>
      <c r="CH5" s="13">
        <f t="shared" si="22"/>
        <v>46118</v>
      </c>
      <c r="CI5" s="12">
        <f t="shared" si="22"/>
        <v>46119</v>
      </c>
      <c r="CJ5" s="12">
        <f t="shared" ref="CJ5" si="23">CI5+1</f>
        <v>46120</v>
      </c>
      <c r="CK5" s="12">
        <f t="shared" ref="CK5" si="24">CJ5+1</f>
        <v>46121</v>
      </c>
      <c r="CL5" s="12">
        <f t="shared" ref="CL5" si="25">CK5+1</f>
        <v>46122</v>
      </c>
      <c r="CM5" s="12">
        <f t="shared" ref="CM5" si="26">CL5+1</f>
        <v>46123</v>
      </c>
      <c r="CN5" s="14">
        <f t="shared" ref="CN5:CP5" si="27">CM5+1</f>
        <v>46124</v>
      </c>
      <c r="CO5" s="13">
        <f t="shared" si="27"/>
        <v>46125</v>
      </c>
      <c r="CP5" s="12">
        <f t="shared" si="27"/>
        <v>46126</v>
      </c>
      <c r="CQ5" s="12">
        <f t="shared" ref="CQ5" si="28">CP5+1</f>
        <v>46127</v>
      </c>
      <c r="CR5" s="12">
        <f t="shared" ref="CR5" si="29">CQ5+1</f>
        <v>46128</v>
      </c>
      <c r="CS5" s="12">
        <f t="shared" ref="CS5" si="30">CR5+1</f>
        <v>46129</v>
      </c>
      <c r="CT5" s="12">
        <f t="shared" ref="CT5" si="31">CS5+1</f>
        <v>46130</v>
      </c>
      <c r="CU5" s="14">
        <f t="shared" ref="CU5" si="32">CT5+1</f>
        <v>46131</v>
      </c>
      <c r="CV5" s="13">
        <f t="shared" ref="CV5" si="33">CU5+1</f>
        <v>46132</v>
      </c>
      <c r="CW5" s="12">
        <f t="shared" ref="CW5" si="34">CV5+1</f>
        <v>46133</v>
      </c>
      <c r="CX5" s="12">
        <f t="shared" ref="CX5" si="35">CW5+1</f>
        <v>46134</v>
      </c>
      <c r="CY5" s="12">
        <f t="shared" ref="CY5" si="36">CX5+1</f>
        <v>46135</v>
      </c>
      <c r="CZ5" s="12">
        <f t="shared" ref="CZ5" si="37">CY5+1</f>
        <v>46136</v>
      </c>
      <c r="DA5" s="12">
        <f t="shared" ref="DA5" si="38">CZ5+1</f>
        <v>46137</v>
      </c>
      <c r="DB5" s="14">
        <f t="shared" ref="DB5" si="39">DA5+1</f>
        <v>46138</v>
      </c>
      <c r="DC5" s="13">
        <f t="shared" ref="DC5" si="40">DB5+1</f>
        <v>46139</v>
      </c>
      <c r="DD5" s="12">
        <f t="shared" ref="DD5" si="41">DC5+1</f>
        <v>46140</v>
      </c>
      <c r="DE5" s="12">
        <f t="shared" ref="DE5" si="42">DD5+1</f>
        <v>46141</v>
      </c>
      <c r="DF5" s="12">
        <f t="shared" ref="DF5" si="43">DE5+1</f>
        <v>46142</v>
      </c>
      <c r="DG5" s="12">
        <f t="shared" ref="DG5" si="44">DF5+1</f>
        <v>46143</v>
      </c>
      <c r="DH5" s="12">
        <f t="shared" ref="DH5" si="45">DG5+1</f>
        <v>46144</v>
      </c>
      <c r="DI5" s="14">
        <f t="shared" ref="DI5" si="46">DH5+1</f>
        <v>46145</v>
      </c>
      <c r="DJ5" s="13">
        <f t="shared" ref="DJ5" si="47">DI5+1</f>
        <v>46146</v>
      </c>
      <c r="DK5" s="12">
        <f t="shared" ref="DK5" si="48">DJ5+1</f>
        <v>46147</v>
      </c>
      <c r="DL5" s="12">
        <f t="shared" ref="DL5" si="49">DK5+1</f>
        <v>46148</v>
      </c>
      <c r="DM5" s="12">
        <f t="shared" ref="DM5" si="50">DL5+1</f>
        <v>46149</v>
      </c>
      <c r="DN5" s="12">
        <f t="shared" ref="DN5" si="51">DM5+1</f>
        <v>46150</v>
      </c>
      <c r="DO5" s="12">
        <f t="shared" ref="DO5" si="52">DN5+1</f>
        <v>46151</v>
      </c>
      <c r="DP5" s="14">
        <f t="shared" ref="DP5" si="53">DO5+1</f>
        <v>46152</v>
      </c>
    </row>
    <row r="6" spans="1:120" ht="29.25" customHeight="1" thickBot="1" x14ac:dyDescent="0.35">
      <c r="A6" s="19"/>
      <c r="B6" s="10" t="s">
        <v>8</v>
      </c>
      <c r="C6" s="11"/>
      <c r="D6" s="11" t="s">
        <v>2</v>
      </c>
      <c r="E6" s="11" t="s">
        <v>4</v>
      </c>
      <c r="F6" s="11" t="s">
        <v>5</v>
      </c>
      <c r="G6" s="11"/>
      <c r="H6" s="11" t="s">
        <v>6</v>
      </c>
      <c r="I6" s="15" t="str">
        <f t="shared" ref="I6" si="54">LEFT(TEXT(I5,"ddd"),1)</f>
        <v>M</v>
      </c>
      <c r="J6" s="15" t="str">
        <f t="shared" ref="J6:AR6" si="55">LEFT(TEXT(J5,"ddd"),1)</f>
        <v>T</v>
      </c>
      <c r="K6" s="15" t="str">
        <f t="shared" si="55"/>
        <v>W</v>
      </c>
      <c r="L6" s="15" t="str">
        <f t="shared" si="55"/>
        <v>T</v>
      </c>
      <c r="M6" s="15" t="str">
        <f t="shared" si="55"/>
        <v>F</v>
      </c>
      <c r="N6" s="15" t="str">
        <f t="shared" si="55"/>
        <v>S</v>
      </c>
      <c r="O6" s="15" t="str">
        <f t="shared" si="55"/>
        <v>S</v>
      </c>
      <c r="P6" s="15" t="str">
        <f t="shared" si="55"/>
        <v>M</v>
      </c>
      <c r="Q6" s="15" t="str">
        <f t="shared" si="55"/>
        <v>T</v>
      </c>
      <c r="R6" s="15" t="str">
        <f t="shared" si="55"/>
        <v>W</v>
      </c>
      <c r="S6" s="15" t="str">
        <f t="shared" si="55"/>
        <v>T</v>
      </c>
      <c r="T6" s="15" t="str">
        <f t="shared" si="55"/>
        <v>F</v>
      </c>
      <c r="U6" s="15" t="str">
        <f t="shared" si="55"/>
        <v>S</v>
      </c>
      <c r="V6" s="15" t="str">
        <f t="shared" si="55"/>
        <v>S</v>
      </c>
      <c r="W6" s="15" t="str">
        <f t="shared" si="55"/>
        <v>M</v>
      </c>
      <c r="X6" s="15" t="str">
        <f t="shared" si="55"/>
        <v>T</v>
      </c>
      <c r="Y6" s="15" t="str">
        <f t="shared" si="55"/>
        <v>W</v>
      </c>
      <c r="Z6" s="15" t="str">
        <f t="shared" si="55"/>
        <v>T</v>
      </c>
      <c r="AA6" s="15" t="str">
        <f t="shared" si="55"/>
        <v>F</v>
      </c>
      <c r="AB6" s="15" t="str">
        <f t="shared" si="55"/>
        <v>S</v>
      </c>
      <c r="AC6" s="15" t="str">
        <f t="shared" si="55"/>
        <v>S</v>
      </c>
      <c r="AD6" s="15" t="str">
        <f t="shared" si="55"/>
        <v>M</v>
      </c>
      <c r="AE6" s="15" t="str">
        <f t="shared" si="55"/>
        <v>T</v>
      </c>
      <c r="AF6" s="15" t="str">
        <f t="shared" si="55"/>
        <v>W</v>
      </c>
      <c r="AG6" s="15" t="str">
        <f t="shared" si="55"/>
        <v>T</v>
      </c>
      <c r="AH6" s="15" t="str">
        <f t="shared" si="55"/>
        <v>F</v>
      </c>
      <c r="AI6" s="15" t="str">
        <f t="shared" si="55"/>
        <v>S</v>
      </c>
      <c r="AJ6" s="15" t="str">
        <f t="shared" si="55"/>
        <v>S</v>
      </c>
      <c r="AK6" s="15" t="str">
        <f t="shared" si="55"/>
        <v>M</v>
      </c>
      <c r="AL6" s="15" t="str">
        <f t="shared" si="55"/>
        <v>T</v>
      </c>
      <c r="AM6" s="15" t="str">
        <f t="shared" si="55"/>
        <v>W</v>
      </c>
      <c r="AN6" s="15" t="str">
        <f t="shared" si="55"/>
        <v>T</v>
      </c>
      <c r="AO6" s="15" t="str">
        <f t="shared" si="55"/>
        <v>F</v>
      </c>
      <c r="AP6" s="15" t="str">
        <f t="shared" si="55"/>
        <v>S</v>
      </c>
      <c r="AQ6" s="15" t="str">
        <f t="shared" si="55"/>
        <v>S</v>
      </c>
      <c r="AR6" s="15" t="str">
        <f t="shared" si="55"/>
        <v>M</v>
      </c>
      <c r="AS6" s="15" t="str">
        <f t="shared" ref="AS6:BL6" si="56">LEFT(TEXT(AS5,"ddd"),1)</f>
        <v>T</v>
      </c>
      <c r="AT6" s="15" t="str">
        <f t="shared" si="56"/>
        <v>W</v>
      </c>
      <c r="AU6" s="15" t="str">
        <f t="shared" si="56"/>
        <v>T</v>
      </c>
      <c r="AV6" s="15" t="str">
        <f t="shared" si="56"/>
        <v>F</v>
      </c>
      <c r="AW6" s="15" t="str">
        <f t="shared" si="56"/>
        <v>S</v>
      </c>
      <c r="AX6" s="15" t="str">
        <f t="shared" si="56"/>
        <v>S</v>
      </c>
      <c r="AY6" s="15" t="str">
        <f t="shared" si="56"/>
        <v>M</v>
      </c>
      <c r="AZ6" s="15" t="str">
        <f t="shared" si="56"/>
        <v>T</v>
      </c>
      <c r="BA6" s="15" t="str">
        <f t="shared" si="56"/>
        <v>W</v>
      </c>
      <c r="BB6" s="15" t="str">
        <f t="shared" si="56"/>
        <v>T</v>
      </c>
      <c r="BC6" s="15" t="str">
        <f t="shared" si="56"/>
        <v>F</v>
      </c>
      <c r="BD6" s="15" t="str">
        <f t="shared" si="56"/>
        <v>S</v>
      </c>
      <c r="BE6" s="15" t="str">
        <f t="shared" si="56"/>
        <v>S</v>
      </c>
      <c r="BF6" s="15" t="str">
        <f t="shared" si="56"/>
        <v>M</v>
      </c>
      <c r="BG6" s="15" t="str">
        <f t="shared" si="56"/>
        <v>T</v>
      </c>
      <c r="BH6" s="15" t="str">
        <f t="shared" si="56"/>
        <v>W</v>
      </c>
      <c r="BI6" s="15" t="str">
        <f t="shared" si="56"/>
        <v>T</v>
      </c>
      <c r="BJ6" s="15" t="str">
        <f t="shared" si="56"/>
        <v>F</v>
      </c>
      <c r="BK6" s="15" t="str">
        <f t="shared" si="56"/>
        <v>S</v>
      </c>
      <c r="BL6" s="15" t="str">
        <f t="shared" si="56"/>
        <v>S</v>
      </c>
      <c r="BM6" s="15" t="str">
        <f t="shared" ref="BM6:BZ6" si="57">LEFT(TEXT(BM5,"ddd"),1)</f>
        <v>M</v>
      </c>
      <c r="BN6" s="15" t="str">
        <f t="shared" si="57"/>
        <v>T</v>
      </c>
      <c r="BO6" s="15" t="str">
        <f t="shared" si="57"/>
        <v>W</v>
      </c>
      <c r="BP6" s="15" t="str">
        <f t="shared" si="57"/>
        <v>T</v>
      </c>
      <c r="BQ6" s="15" t="str">
        <f t="shared" si="57"/>
        <v>F</v>
      </c>
      <c r="BR6" s="15" t="str">
        <f t="shared" si="57"/>
        <v>S</v>
      </c>
      <c r="BS6" s="15" t="str">
        <f t="shared" si="57"/>
        <v>S</v>
      </c>
      <c r="BT6" s="15" t="str">
        <f t="shared" si="57"/>
        <v>M</v>
      </c>
      <c r="BU6" s="15" t="str">
        <f t="shared" si="57"/>
        <v>T</v>
      </c>
      <c r="BV6" s="15" t="str">
        <f t="shared" si="57"/>
        <v>W</v>
      </c>
      <c r="BW6" s="15" t="str">
        <f t="shared" si="57"/>
        <v>T</v>
      </c>
      <c r="BX6" s="15" t="str">
        <f t="shared" si="57"/>
        <v>F</v>
      </c>
      <c r="BY6" s="15" t="str">
        <f t="shared" si="57"/>
        <v>S</v>
      </c>
      <c r="BZ6" s="15" t="str">
        <f t="shared" si="57"/>
        <v>S</v>
      </c>
      <c r="CA6" s="15" t="str">
        <f t="shared" ref="CA6:CG6" si="58">LEFT(TEXT(CA5,"ddd"),1)</f>
        <v>M</v>
      </c>
      <c r="CB6" s="15" t="str">
        <f t="shared" si="58"/>
        <v>T</v>
      </c>
      <c r="CC6" s="15" t="str">
        <f t="shared" si="58"/>
        <v>W</v>
      </c>
      <c r="CD6" s="15" t="str">
        <f t="shared" si="58"/>
        <v>T</v>
      </c>
      <c r="CE6" s="15" t="str">
        <f t="shared" si="58"/>
        <v>F</v>
      </c>
      <c r="CF6" s="15" t="str">
        <f t="shared" si="58"/>
        <v>S</v>
      </c>
      <c r="CG6" s="15" t="str">
        <f t="shared" si="58"/>
        <v>S</v>
      </c>
      <c r="CH6" s="15" t="str">
        <f t="shared" ref="CH6:CU6" si="59">LEFT(TEXT(CH5,"ddd"),1)</f>
        <v>M</v>
      </c>
      <c r="CI6" s="15" t="str">
        <f t="shared" si="59"/>
        <v>T</v>
      </c>
      <c r="CJ6" s="15" t="str">
        <f t="shared" si="59"/>
        <v>W</v>
      </c>
      <c r="CK6" s="15" t="str">
        <f t="shared" si="59"/>
        <v>T</v>
      </c>
      <c r="CL6" s="15" t="str">
        <f t="shared" si="59"/>
        <v>F</v>
      </c>
      <c r="CM6" s="15" t="str">
        <f t="shared" si="59"/>
        <v>S</v>
      </c>
      <c r="CN6" s="15" t="str">
        <f t="shared" si="59"/>
        <v>S</v>
      </c>
      <c r="CO6" s="15" t="str">
        <f t="shared" si="59"/>
        <v>M</v>
      </c>
      <c r="CP6" s="15" t="str">
        <f t="shared" si="59"/>
        <v>T</v>
      </c>
      <c r="CQ6" s="15" t="str">
        <f t="shared" si="59"/>
        <v>W</v>
      </c>
      <c r="CR6" s="15" t="str">
        <f t="shared" si="59"/>
        <v>T</v>
      </c>
      <c r="CS6" s="15" t="str">
        <f t="shared" si="59"/>
        <v>F</v>
      </c>
      <c r="CT6" s="15" t="str">
        <f t="shared" si="59"/>
        <v>S</v>
      </c>
      <c r="CU6" s="15" t="str">
        <f t="shared" si="59"/>
        <v>S</v>
      </c>
      <c r="CV6" s="15" t="str">
        <f t="shared" ref="CV6:DI6" si="60">LEFT(TEXT(CV5,"ddd"),1)</f>
        <v>M</v>
      </c>
      <c r="CW6" s="15" t="str">
        <f t="shared" si="60"/>
        <v>T</v>
      </c>
      <c r="CX6" s="15" t="str">
        <f t="shared" si="60"/>
        <v>W</v>
      </c>
      <c r="CY6" s="15" t="str">
        <f t="shared" si="60"/>
        <v>T</v>
      </c>
      <c r="CZ6" s="15" t="str">
        <f t="shared" si="60"/>
        <v>F</v>
      </c>
      <c r="DA6" s="15" t="str">
        <f t="shared" si="60"/>
        <v>S</v>
      </c>
      <c r="DB6" s="15" t="str">
        <f t="shared" si="60"/>
        <v>S</v>
      </c>
      <c r="DC6" s="15" t="str">
        <f t="shared" si="60"/>
        <v>M</v>
      </c>
      <c r="DD6" s="15" t="str">
        <f t="shared" si="60"/>
        <v>T</v>
      </c>
      <c r="DE6" s="15" t="str">
        <f t="shared" si="60"/>
        <v>W</v>
      </c>
      <c r="DF6" s="15" t="str">
        <f t="shared" si="60"/>
        <v>T</v>
      </c>
      <c r="DG6" s="15" t="str">
        <f t="shared" si="60"/>
        <v>F</v>
      </c>
      <c r="DH6" s="15" t="str">
        <f t="shared" si="60"/>
        <v>S</v>
      </c>
      <c r="DI6" s="15" t="str">
        <f t="shared" si="60"/>
        <v>S</v>
      </c>
      <c r="DJ6" s="15" t="str">
        <f t="shared" ref="DJ6:DP6" si="61">LEFT(TEXT(DJ5,"ddd"),1)</f>
        <v>M</v>
      </c>
      <c r="DK6" s="15" t="str">
        <f t="shared" si="61"/>
        <v>T</v>
      </c>
      <c r="DL6" s="15" t="str">
        <f t="shared" si="61"/>
        <v>W</v>
      </c>
      <c r="DM6" s="15" t="str">
        <f t="shared" si="61"/>
        <v>T</v>
      </c>
      <c r="DN6" s="15" t="str">
        <f t="shared" si="61"/>
        <v>F</v>
      </c>
      <c r="DO6" s="15" t="str">
        <f t="shared" si="61"/>
        <v>S</v>
      </c>
      <c r="DP6" s="15" t="str">
        <f t="shared" si="61"/>
        <v>S</v>
      </c>
    </row>
    <row r="7" spans="1:120" s="3" customFormat="1" ht="21.6" thickBot="1" x14ac:dyDescent="0.35">
      <c r="A7" s="19"/>
      <c r="B7" s="20"/>
      <c r="C7" s="21"/>
      <c r="D7" s="22"/>
      <c r="E7" s="23"/>
      <c r="F7" s="24"/>
      <c r="G7" s="25"/>
      <c r="H7" s="25" t="str">
        <f t="shared" ref="H7:H46" si="62">IF(OR(ISBLANK(task_start),ISBLANK(task_end)),"",task_end-task_start+1)</f>
        <v/>
      </c>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row>
    <row r="8" spans="1:120" s="3" customFormat="1" ht="21.6" thickBot="1" x14ac:dyDescent="0.35">
      <c r="A8" s="19"/>
      <c r="B8" s="26" t="s">
        <v>34</v>
      </c>
      <c r="C8" s="27"/>
      <c r="D8" s="28"/>
      <c r="E8" s="29"/>
      <c r="F8" s="30"/>
      <c r="G8" s="25"/>
      <c r="H8" s="25" t="str">
        <f t="shared" si="62"/>
        <v/>
      </c>
      <c r="I8" s="89"/>
      <c r="J8" s="89"/>
      <c r="K8" s="89"/>
      <c r="L8" s="89"/>
      <c r="M8" s="89"/>
      <c r="N8" s="89"/>
      <c r="O8" s="89"/>
      <c r="P8" s="89"/>
      <c r="Q8" s="89"/>
      <c r="R8" s="89"/>
      <c r="S8" s="89"/>
      <c r="T8" s="89"/>
      <c r="U8" s="89"/>
      <c r="V8" s="89"/>
      <c r="W8" s="89"/>
      <c r="X8" s="89"/>
      <c r="Y8" s="89"/>
      <c r="Z8" s="89"/>
      <c r="AA8" s="89"/>
      <c r="AB8" s="89"/>
      <c r="AC8" s="89"/>
      <c r="AD8" s="89"/>
      <c r="AE8" s="89"/>
      <c r="AF8" s="89"/>
      <c r="AG8" s="89"/>
      <c r="AH8" s="89"/>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c r="BN8" s="62"/>
      <c r="BO8" s="62"/>
      <c r="BP8" s="62"/>
      <c r="BQ8" s="62"/>
      <c r="BR8" s="62"/>
      <c r="BS8" s="62"/>
      <c r="BT8" s="62"/>
      <c r="BU8" s="62"/>
      <c r="BV8" s="62"/>
      <c r="BW8" s="62"/>
      <c r="BX8" s="62"/>
      <c r="BY8" s="62"/>
      <c r="BZ8" s="62"/>
      <c r="CA8" s="62"/>
      <c r="CB8" s="62"/>
      <c r="CC8" s="62"/>
      <c r="CD8" s="62"/>
      <c r="CE8" s="62"/>
      <c r="CF8" s="62"/>
      <c r="CG8" s="62"/>
      <c r="CH8" s="62"/>
      <c r="CI8" s="62"/>
      <c r="CJ8" s="62"/>
      <c r="CK8" s="62"/>
      <c r="CL8" s="62"/>
      <c r="CM8" s="62"/>
      <c r="CN8" s="62"/>
      <c r="CO8" s="62"/>
      <c r="CP8" s="62"/>
      <c r="CQ8" s="62"/>
      <c r="CR8" s="62"/>
      <c r="CS8" s="62"/>
      <c r="CT8" s="62"/>
      <c r="CU8" s="62"/>
      <c r="CV8" s="62"/>
      <c r="CW8" s="62"/>
      <c r="CX8" s="62"/>
      <c r="CY8" s="62"/>
      <c r="CZ8" s="62"/>
      <c r="DA8" s="62"/>
      <c r="DB8" s="62"/>
      <c r="DC8" s="62"/>
      <c r="DD8" s="62"/>
      <c r="DE8" s="62"/>
      <c r="DF8" s="62"/>
      <c r="DG8" s="62"/>
      <c r="DH8" s="62"/>
      <c r="DI8" s="62"/>
      <c r="DJ8" s="62"/>
      <c r="DK8" s="62"/>
      <c r="DL8" s="62"/>
      <c r="DM8" s="62"/>
      <c r="DN8" s="62"/>
      <c r="DO8" s="62"/>
      <c r="DP8" s="62"/>
    </row>
    <row r="9" spans="1:120" s="3" customFormat="1" ht="21.6" thickBot="1" x14ac:dyDescent="0.35">
      <c r="A9" s="19"/>
      <c r="B9" s="31" t="s">
        <v>24</v>
      </c>
      <c r="C9" s="32"/>
      <c r="D9" s="33">
        <v>1</v>
      </c>
      <c r="E9" s="34">
        <v>46041</v>
      </c>
      <c r="F9" s="35">
        <v>46051</v>
      </c>
      <c r="G9" s="25"/>
      <c r="H9" s="25">
        <f t="shared" si="62"/>
        <v>11</v>
      </c>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c r="BN9" s="62"/>
      <c r="BO9" s="62"/>
      <c r="BP9" s="62"/>
      <c r="BQ9" s="62"/>
      <c r="BR9" s="62"/>
      <c r="BS9" s="62"/>
      <c r="BT9" s="62"/>
      <c r="BU9" s="62"/>
      <c r="BV9" s="62"/>
      <c r="BW9" s="62"/>
      <c r="BX9" s="62"/>
      <c r="BY9" s="62"/>
      <c r="BZ9" s="62"/>
      <c r="CA9" s="62"/>
      <c r="CB9" s="62"/>
      <c r="CC9" s="62"/>
      <c r="CD9" s="62"/>
      <c r="CE9" s="62"/>
      <c r="CF9" s="62"/>
      <c r="CG9" s="62"/>
      <c r="CH9" s="62"/>
      <c r="CI9" s="62"/>
      <c r="CJ9" s="62"/>
      <c r="CK9" s="62"/>
      <c r="CL9" s="62"/>
      <c r="CM9" s="62"/>
      <c r="CN9" s="62"/>
      <c r="CO9" s="62"/>
      <c r="CP9" s="62"/>
      <c r="CQ9" s="62"/>
      <c r="CR9" s="62"/>
      <c r="CS9" s="62"/>
      <c r="CT9" s="62"/>
      <c r="CU9" s="62"/>
      <c r="CV9" s="62"/>
      <c r="CW9" s="62"/>
      <c r="CX9" s="62"/>
      <c r="CY9" s="62"/>
      <c r="CZ9" s="62"/>
      <c r="DA9" s="62"/>
      <c r="DB9" s="62"/>
      <c r="DC9" s="62"/>
      <c r="DD9" s="62"/>
      <c r="DE9" s="62"/>
      <c r="DF9" s="62"/>
      <c r="DG9" s="62"/>
      <c r="DH9" s="62"/>
      <c r="DI9" s="62"/>
      <c r="DJ9" s="62"/>
      <c r="DK9" s="62"/>
      <c r="DL9" s="62"/>
      <c r="DM9" s="62"/>
      <c r="DN9" s="62"/>
      <c r="DO9" s="62"/>
      <c r="DP9" s="62"/>
    </row>
    <row r="10" spans="1:120" s="3" customFormat="1" ht="21.6" thickBot="1" x14ac:dyDescent="0.35">
      <c r="A10" s="19"/>
      <c r="B10" s="31" t="s">
        <v>25</v>
      </c>
      <c r="C10" s="32"/>
      <c r="D10" s="33">
        <v>1</v>
      </c>
      <c r="E10" s="34">
        <v>46046</v>
      </c>
      <c r="F10" s="35">
        <v>46047</v>
      </c>
      <c r="G10" s="25"/>
      <c r="H10" s="25">
        <f t="shared" si="62"/>
        <v>2</v>
      </c>
      <c r="I10" s="62"/>
      <c r="J10" s="62"/>
      <c r="K10" s="62"/>
      <c r="L10" s="62"/>
      <c r="M10" s="62"/>
      <c r="N10" s="62"/>
      <c r="O10" s="62"/>
      <c r="P10" s="62"/>
      <c r="Q10" s="62"/>
      <c r="R10" s="62"/>
      <c r="S10" s="62"/>
      <c r="T10" s="62"/>
      <c r="U10" s="63"/>
      <c r="V10" s="63"/>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row>
    <row r="11" spans="1:120" s="3" customFormat="1" ht="21.6" thickBot="1" x14ac:dyDescent="0.35">
      <c r="A11" s="19"/>
      <c r="B11" s="31" t="s">
        <v>26</v>
      </c>
      <c r="C11" s="32"/>
      <c r="D11" s="33">
        <v>1</v>
      </c>
      <c r="E11" s="34">
        <v>46047</v>
      </c>
      <c r="F11" s="35">
        <v>46048</v>
      </c>
      <c r="G11" s="25"/>
      <c r="H11" s="25">
        <f t="shared" si="62"/>
        <v>2</v>
      </c>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row>
    <row r="12" spans="1:120" s="3" customFormat="1" ht="21.6" thickBot="1" x14ac:dyDescent="0.35">
      <c r="A12" s="19"/>
      <c r="B12" s="31" t="s">
        <v>28</v>
      </c>
      <c r="C12" s="32"/>
      <c r="D12" s="33">
        <v>1</v>
      </c>
      <c r="E12" s="34">
        <v>46048</v>
      </c>
      <c r="F12" s="35">
        <v>46049</v>
      </c>
      <c r="G12" s="25"/>
      <c r="H12" s="25">
        <f t="shared" si="62"/>
        <v>2</v>
      </c>
      <c r="I12" s="62"/>
      <c r="J12" s="62"/>
      <c r="K12" s="62"/>
      <c r="L12" s="62"/>
      <c r="M12" s="62"/>
      <c r="N12" s="62"/>
      <c r="O12" s="62"/>
      <c r="P12" s="62"/>
      <c r="Q12" s="62"/>
      <c r="R12" s="62"/>
      <c r="S12" s="62"/>
      <c r="T12" s="62"/>
      <c r="U12" s="62"/>
      <c r="V12" s="62"/>
      <c r="W12" s="62"/>
      <c r="X12" s="62"/>
      <c r="Y12" s="63"/>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2"/>
      <c r="BQ12" s="62"/>
      <c r="BR12" s="62"/>
      <c r="BS12" s="62"/>
      <c r="BT12" s="62"/>
      <c r="BU12" s="62"/>
      <c r="BV12" s="62"/>
      <c r="BW12" s="62"/>
      <c r="BX12" s="62"/>
      <c r="BY12" s="62"/>
      <c r="BZ12" s="62"/>
      <c r="CA12" s="62"/>
      <c r="CB12" s="62"/>
      <c r="CC12" s="62"/>
      <c r="CD12" s="62"/>
      <c r="CE12" s="62"/>
      <c r="CF12" s="62"/>
      <c r="CG12" s="62"/>
      <c r="CH12" s="62"/>
      <c r="CI12" s="62"/>
      <c r="CJ12" s="62"/>
      <c r="CK12" s="62"/>
      <c r="CL12" s="62"/>
      <c r="CM12" s="62"/>
      <c r="CN12" s="62"/>
      <c r="CO12" s="62"/>
      <c r="CP12" s="62"/>
      <c r="CQ12" s="62"/>
      <c r="CR12" s="62"/>
      <c r="CS12" s="62"/>
      <c r="CT12" s="62"/>
      <c r="CU12" s="62"/>
      <c r="CV12" s="62"/>
      <c r="CW12" s="62"/>
      <c r="CX12" s="62"/>
      <c r="CY12" s="62"/>
      <c r="CZ12" s="62"/>
      <c r="DA12" s="62"/>
      <c r="DB12" s="62"/>
      <c r="DC12" s="62"/>
      <c r="DD12" s="62"/>
      <c r="DE12" s="62"/>
      <c r="DF12" s="62"/>
      <c r="DG12" s="62"/>
      <c r="DH12" s="62"/>
      <c r="DI12" s="62"/>
      <c r="DJ12" s="62"/>
      <c r="DK12" s="62"/>
      <c r="DL12" s="62"/>
      <c r="DM12" s="62"/>
      <c r="DN12" s="62"/>
      <c r="DO12" s="62"/>
      <c r="DP12" s="62"/>
    </row>
    <row r="13" spans="1:120" s="3" customFormat="1" ht="21.6" thickBot="1" x14ac:dyDescent="0.35">
      <c r="A13" s="19"/>
      <c r="B13" s="31" t="s">
        <v>29</v>
      </c>
      <c r="C13" s="32"/>
      <c r="D13" s="33">
        <v>1</v>
      </c>
      <c r="E13" s="34">
        <v>46049</v>
      </c>
      <c r="F13" s="35">
        <v>46050</v>
      </c>
      <c r="G13" s="25"/>
      <c r="H13" s="25">
        <f t="shared" si="62"/>
        <v>2</v>
      </c>
      <c r="I13" s="62"/>
      <c r="J13" s="62"/>
      <c r="K13" s="62"/>
      <c r="L13" s="62"/>
      <c r="M13" s="62"/>
      <c r="N13" s="62"/>
      <c r="O13" s="62"/>
      <c r="P13" s="62"/>
      <c r="Q13" s="62"/>
      <c r="R13" s="62"/>
      <c r="S13" s="62"/>
      <c r="T13" s="62"/>
      <c r="U13" s="62"/>
      <c r="V13" s="62"/>
      <c r="W13" s="62"/>
      <c r="X13" s="62"/>
      <c r="Y13" s="63"/>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c r="BA13" s="62"/>
      <c r="BB13" s="62"/>
      <c r="BC13" s="62"/>
      <c r="BD13" s="62"/>
      <c r="BE13" s="62"/>
      <c r="BF13" s="62"/>
      <c r="BG13" s="62"/>
      <c r="BH13" s="62"/>
      <c r="BI13" s="62"/>
      <c r="BJ13" s="62"/>
      <c r="BK13" s="62"/>
      <c r="BL13" s="62"/>
      <c r="BM13" s="62"/>
      <c r="BN13" s="62"/>
      <c r="BO13" s="62"/>
      <c r="BP13" s="62"/>
      <c r="BQ13" s="62"/>
      <c r="BR13" s="62"/>
      <c r="BS13" s="62"/>
      <c r="BT13" s="62"/>
      <c r="BU13" s="62"/>
      <c r="BV13" s="62"/>
      <c r="BW13" s="62"/>
      <c r="BX13" s="62"/>
      <c r="BY13" s="62"/>
      <c r="BZ13" s="62"/>
      <c r="CA13" s="62"/>
      <c r="CB13" s="62"/>
      <c r="CC13" s="62"/>
      <c r="CD13" s="62"/>
      <c r="CE13" s="62"/>
      <c r="CF13" s="62"/>
      <c r="CG13" s="62"/>
      <c r="CH13" s="62"/>
      <c r="CI13" s="62"/>
      <c r="CJ13" s="62"/>
      <c r="CK13" s="62"/>
      <c r="CL13" s="62"/>
      <c r="CM13" s="62"/>
      <c r="CN13" s="62"/>
      <c r="CO13" s="62"/>
      <c r="CP13" s="62"/>
      <c r="CQ13" s="62"/>
      <c r="CR13" s="62"/>
      <c r="CS13" s="62"/>
      <c r="CT13" s="62"/>
      <c r="CU13" s="62"/>
      <c r="CV13" s="62"/>
      <c r="CW13" s="62"/>
      <c r="CX13" s="62"/>
      <c r="CY13" s="62"/>
      <c r="CZ13" s="62"/>
      <c r="DA13" s="62"/>
      <c r="DB13" s="62"/>
      <c r="DC13" s="62"/>
      <c r="DD13" s="62"/>
      <c r="DE13" s="62"/>
      <c r="DF13" s="62"/>
      <c r="DG13" s="62"/>
      <c r="DH13" s="62"/>
      <c r="DI13" s="62"/>
      <c r="DJ13" s="62"/>
      <c r="DK13" s="62"/>
      <c r="DL13" s="62"/>
      <c r="DM13" s="62"/>
      <c r="DN13" s="62"/>
      <c r="DO13" s="62"/>
      <c r="DP13" s="62"/>
    </row>
    <row r="14" spans="1:120" s="3" customFormat="1" ht="21.6" thickBot="1" x14ac:dyDescent="0.35">
      <c r="A14" s="19"/>
      <c r="B14" s="31" t="s">
        <v>38</v>
      </c>
      <c r="C14" s="32"/>
      <c r="D14" s="33">
        <v>1</v>
      </c>
      <c r="E14" s="34">
        <v>46050</v>
      </c>
      <c r="F14" s="35">
        <v>46051</v>
      </c>
      <c r="G14" s="25"/>
      <c r="H14" s="25">
        <f t="shared" si="62"/>
        <v>2</v>
      </c>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c r="BQ14" s="62"/>
      <c r="BR14" s="62"/>
      <c r="BS14" s="62"/>
      <c r="BT14" s="62"/>
      <c r="BU14" s="62"/>
      <c r="BV14" s="62"/>
      <c r="BW14" s="62"/>
      <c r="BX14" s="62"/>
      <c r="BY14" s="62"/>
      <c r="BZ14" s="62"/>
      <c r="CA14" s="62"/>
      <c r="CB14" s="62"/>
      <c r="CC14" s="62"/>
      <c r="CD14" s="62"/>
      <c r="CE14" s="62"/>
      <c r="CF14" s="62"/>
      <c r="CG14" s="62"/>
      <c r="CH14" s="62"/>
      <c r="CI14" s="62"/>
      <c r="CJ14" s="62"/>
      <c r="CK14" s="62"/>
      <c r="CL14" s="62"/>
      <c r="CM14" s="62"/>
      <c r="CN14" s="62"/>
      <c r="CO14" s="62"/>
      <c r="CP14" s="62"/>
      <c r="CQ14" s="62"/>
      <c r="CR14" s="62"/>
      <c r="CS14" s="62"/>
      <c r="CT14" s="62"/>
      <c r="CU14" s="62"/>
      <c r="CV14" s="62"/>
      <c r="CW14" s="62"/>
      <c r="CX14" s="62"/>
      <c r="CY14" s="62"/>
      <c r="CZ14" s="62"/>
      <c r="DA14" s="62"/>
      <c r="DB14" s="62"/>
      <c r="DC14" s="62"/>
      <c r="DD14" s="62"/>
      <c r="DE14" s="62"/>
      <c r="DF14" s="62"/>
      <c r="DG14" s="62"/>
      <c r="DH14" s="62"/>
      <c r="DI14" s="62"/>
      <c r="DJ14" s="62"/>
      <c r="DK14" s="62"/>
      <c r="DL14" s="62"/>
      <c r="DM14" s="62"/>
      <c r="DN14" s="62"/>
      <c r="DO14" s="62"/>
      <c r="DP14" s="62"/>
    </row>
    <row r="15" spans="1:120" s="3" customFormat="1" ht="21.6" thickBot="1" x14ac:dyDescent="0.35">
      <c r="A15" s="19"/>
      <c r="B15" s="31" t="s">
        <v>30</v>
      </c>
      <c r="C15" s="32"/>
      <c r="D15" s="33">
        <v>1</v>
      </c>
      <c r="E15" s="34">
        <v>46051</v>
      </c>
      <c r="F15" s="35">
        <v>46058</v>
      </c>
      <c r="G15" s="25"/>
      <c r="H15" s="25">
        <f t="shared" si="62"/>
        <v>8</v>
      </c>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2"/>
      <c r="BJ15" s="62"/>
      <c r="BK15" s="62"/>
      <c r="BL15" s="62"/>
      <c r="BM15" s="62"/>
      <c r="BN15" s="62"/>
      <c r="BO15" s="62"/>
      <c r="BP15" s="62"/>
      <c r="BQ15" s="62"/>
      <c r="BR15" s="62"/>
      <c r="BS15" s="62"/>
      <c r="BT15" s="62"/>
      <c r="BU15" s="62"/>
      <c r="BV15" s="62"/>
      <c r="BW15" s="62"/>
      <c r="BX15" s="62"/>
      <c r="BY15" s="62"/>
      <c r="BZ15" s="62"/>
      <c r="CA15" s="62"/>
      <c r="CB15" s="62"/>
      <c r="CC15" s="62"/>
      <c r="CD15" s="62"/>
      <c r="CE15" s="62"/>
      <c r="CF15" s="62"/>
      <c r="CG15" s="62"/>
      <c r="CH15" s="62"/>
      <c r="CI15" s="62"/>
      <c r="CJ15" s="62"/>
      <c r="CK15" s="62"/>
      <c r="CL15" s="62"/>
      <c r="CM15" s="62"/>
      <c r="CN15" s="62"/>
      <c r="CO15" s="62"/>
      <c r="CP15" s="62"/>
      <c r="CQ15" s="62"/>
      <c r="CR15" s="62"/>
      <c r="CS15" s="62"/>
      <c r="CT15" s="62"/>
      <c r="CU15" s="62"/>
      <c r="CV15" s="62"/>
      <c r="CW15" s="62"/>
      <c r="CX15" s="62"/>
      <c r="CY15" s="62"/>
      <c r="CZ15" s="62"/>
      <c r="DA15" s="62"/>
      <c r="DB15" s="62"/>
      <c r="DC15" s="62"/>
      <c r="DD15" s="62"/>
      <c r="DE15" s="62"/>
      <c r="DF15" s="62"/>
      <c r="DG15" s="62"/>
      <c r="DH15" s="62"/>
      <c r="DI15" s="62"/>
      <c r="DJ15" s="62"/>
      <c r="DK15" s="62"/>
      <c r="DL15" s="62"/>
      <c r="DM15" s="62"/>
      <c r="DN15" s="62"/>
      <c r="DO15" s="62"/>
      <c r="DP15" s="62"/>
    </row>
    <row r="16" spans="1:120" s="3" customFormat="1" ht="21.6" thickBot="1" x14ac:dyDescent="0.35">
      <c r="A16" s="19"/>
      <c r="B16" s="31" t="s">
        <v>31</v>
      </c>
      <c r="C16" s="32"/>
      <c r="D16" s="33">
        <v>1</v>
      </c>
      <c r="E16" s="34">
        <v>46054</v>
      </c>
      <c r="F16" s="35">
        <v>46064</v>
      </c>
      <c r="G16" s="25"/>
      <c r="H16" s="25">
        <f t="shared" si="62"/>
        <v>11</v>
      </c>
      <c r="I16" s="62"/>
      <c r="J16" s="6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c r="BA16" s="62"/>
      <c r="BB16" s="62"/>
      <c r="BC16" s="62"/>
      <c r="BD16" s="62"/>
      <c r="BE16" s="62"/>
      <c r="BF16" s="62"/>
      <c r="BG16" s="62"/>
      <c r="BH16" s="62"/>
      <c r="BI16" s="62"/>
      <c r="BJ16" s="62"/>
      <c r="BK16" s="62"/>
      <c r="BL16" s="62"/>
      <c r="BM16" s="62"/>
      <c r="BN16" s="62"/>
      <c r="BO16" s="62"/>
      <c r="BP16" s="62"/>
      <c r="BQ16" s="62"/>
      <c r="BR16" s="62"/>
      <c r="BS16" s="62"/>
      <c r="BT16" s="62"/>
      <c r="BU16" s="62"/>
      <c r="BV16" s="62"/>
      <c r="BW16" s="62"/>
      <c r="BX16" s="62"/>
      <c r="BY16" s="62"/>
      <c r="BZ16" s="62"/>
      <c r="CA16" s="62"/>
      <c r="CB16" s="62"/>
      <c r="CC16" s="62"/>
      <c r="CD16" s="62"/>
      <c r="CE16" s="62"/>
      <c r="CF16" s="62"/>
      <c r="CG16" s="62"/>
      <c r="CH16" s="62"/>
      <c r="CI16" s="62"/>
      <c r="CJ16" s="62"/>
      <c r="CK16" s="62"/>
      <c r="CL16" s="62"/>
      <c r="CM16" s="62"/>
      <c r="CN16" s="62"/>
      <c r="CO16" s="62"/>
      <c r="CP16" s="62"/>
      <c r="CQ16" s="62"/>
      <c r="CR16" s="62"/>
      <c r="CS16" s="62"/>
      <c r="CT16" s="62"/>
      <c r="CU16" s="62"/>
      <c r="CV16" s="62"/>
      <c r="CW16" s="62"/>
      <c r="CX16" s="62"/>
      <c r="CY16" s="62"/>
      <c r="CZ16" s="62"/>
      <c r="DA16" s="62"/>
      <c r="DB16" s="62"/>
      <c r="DC16" s="62"/>
      <c r="DD16" s="62"/>
      <c r="DE16" s="62"/>
      <c r="DF16" s="62"/>
      <c r="DG16" s="62"/>
      <c r="DH16" s="62"/>
      <c r="DI16" s="62"/>
      <c r="DJ16" s="62"/>
      <c r="DK16" s="62"/>
      <c r="DL16" s="62"/>
      <c r="DM16" s="62"/>
      <c r="DN16" s="62"/>
      <c r="DO16" s="62"/>
      <c r="DP16" s="62"/>
    </row>
    <row r="17" spans="1:120" s="3" customFormat="1" ht="21.6" thickBot="1" x14ac:dyDescent="0.35">
      <c r="A17" s="19"/>
      <c r="B17" s="31" t="s">
        <v>32</v>
      </c>
      <c r="C17" s="32"/>
      <c r="D17" s="33">
        <v>1</v>
      </c>
      <c r="E17" s="34">
        <v>46059</v>
      </c>
      <c r="F17" s="35">
        <v>46065</v>
      </c>
      <c r="G17" s="25"/>
      <c r="H17" s="25">
        <f t="shared" si="62"/>
        <v>7</v>
      </c>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2"/>
      <c r="CL17" s="62"/>
      <c r="CM17" s="62"/>
      <c r="CN17" s="62"/>
      <c r="CO17" s="62"/>
      <c r="CP17" s="62"/>
      <c r="CQ17" s="62"/>
      <c r="CR17" s="62"/>
      <c r="CS17" s="62"/>
      <c r="CT17" s="62"/>
      <c r="CU17" s="62"/>
      <c r="CV17" s="62"/>
      <c r="CW17" s="62"/>
      <c r="CX17" s="62"/>
      <c r="CY17" s="62"/>
      <c r="CZ17" s="62"/>
      <c r="DA17" s="62"/>
      <c r="DB17" s="62"/>
      <c r="DC17" s="62"/>
      <c r="DD17" s="62"/>
      <c r="DE17" s="62"/>
      <c r="DF17" s="62"/>
      <c r="DG17" s="62"/>
      <c r="DH17" s="62"/>
      <c r="DI17" s="62"/>
      <c r="DJ17" s="62"/>
      <c r="DK17" s="62"/>
      <c r="DL17" s="62"/>
      <c r="DM17" s="62"/>
      <c r="DN17" s="62"/>
      <c r="DO17" s="62"/>
      <c r="DP17" s="62"/>
    </row>
    <row r="18" spans="1:120" s="3" customFormat="1" ht="21.6" thickBot="1" x14ac:dyDescent="0.35">
      <c r="A18" s="19"/>
      <c r="B18" s="31" t="s">
        <v>37</v>
      </c>
      <c r="C18" s="32"/>
      <c r="D18" s="33">
        <v>1</v>
      </c>
      <c r="E18" s="34">
        <v>46060</v>
      </c>
      <c r="F18" s="35">
        <v>46066</v>
      </c>
      <c r="G18" s="25"/>
      <c r="H18" s="25">
        <f t="shared" si="62"/>
        <v>7</v>
      </c>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88"/>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2"/>
      <c r="BK18" s="62"/>
      <c r="BL18" s="62"/>
      <c r="BM18" s="62"/>
      <c r="BN18" s="62"/>
      <c r="BO18" s="62"/>
      <c r="BP18" s="62"/>
      <c r="BQ18" s="62"/>
      <c r="BR18" s="62"/>
      <c r="BS18" s="62"/>
      <c r="BT18" s="62"/>
      <c r="BU18" s="62"/>
      <c r="BV18" s="62"/>
      <c r="BW18" s="62"/>
      <c r="BX18" s="62"/>
      <c r="BY18" s="62"/>
      <c r="BZ18" s="62"/>
      <c r="CA18" s="62"/>
      <c r="CB18" s="62"/>
      <c r="CC18" s="62"/>
      <c r="CD18" s="62"/>
      <c r="CE18" s="62"/>
      <c r="CF18" s="62"/>
      <c r="CG18" s="62"/>
      <c r="CH18" s="62"/>
      <c r="CI18" s="62"/>
      <c r="CJ18" s="62"/>
      <c r="CK18" s="62"/>
      <c r="CL18" s="62"/>
      <c r="CM18" s="62"/>
      <c r="CN18" s="62"/>
      <c r="CO18" s="62"/>
      <c r="CP18" s="62"/>
      <c r="CQ18" s="62"/>
      <c r="CR18" s="62"/>
      <c r="CS18" s="62"/>
      <c r="CT18" s="62"/>
      <c r="CU18" s="62"/>
      <c r="CV18" s="62"/>
      <c r="CW18" s="62"/>
      <c r="CX18" s="62"/>
      <c r="CY18" s="62"/>
      <c r="CZ18" s="62"/>
      <c r="DA18" s="62"/>
      <c r="DB18" s="62"/>
      <c r="DC18" s="62"/>
      <c r="DD18" s="62"/>
      <c r="DE18" s="62"/>
      <c r="DF18" s="62"/>
      <c r="DG18" s="62"/>
      <c r="DH18" s="62"/>
      <c r="DI18" s="62"/>
      <c r="DJ18" s="62"/>
      <c r="DK18" s="62"/>
      <c r="DL18" s="62"/>
      <c r="DM18" s="62"/>
      <c r="DN18" s="62"/>
      <c r="DO18" s="62"/>
      <c r="DP18" s="62"/>
    </row>
    <row r="19" spans="1:120" s="3" customFormat="1" ht="21.6" thickBot="1" x14ac:dyDescent="0.35">
      <c r="A19" s="19"/>
      <c r="B19" s="36" t="s">
        <v>33</v>
      </c>
      <c r="C19" s="37"/>
      <c r="D19" s="38"/>
      <c r="E19" s="39"/>
      <c r="F19" s="40"/>
      <c r="G19" s="25"/>
      <c r="H19" s="25" t="str">
        <f t="shared" si="62"/>
        <v/>
      </c>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0"/>
      <c r="BU19" s="90"/>
      <c r="BV19" s="90"/>
      <c r="BW19" s="90"/>
      <c r="BX19" s="90"/>
      <c r="BY19" s="90"/>
      <c r="BZ19" s="90"/>
      <c r="CA19" s="90"/>
      <c r="CB19" s="90"/>
      <c r="CC19" s="90"/>
      <c r="CD19" s="90"/>
      <c r="CE19" s="90"/>
      <c r="CF19" s="90"/>
      <c r="CG19" s="90"/>
      <c r="CH19" s="90"/>
      <c r="CI19" s="90"/>
      <c r="CJ19" s="90"/>
      <c r="CK19" s="90"/>
      <c r="CL19" s="90"/>
      <c r="CM19" s="90"/>
      <c r="CN19" s="90"/>
      <c r="CO19" s="90"/>
      <c r="CP19" s="90"/>
      <c r="CQ19" s="90"/>
      <c r="CR19" s="90"/>
      <c r="CS19" s="90"/>
      <c r="CT19" s="90"/>
      <c r="CU19" s="90"/>
      <c r="CV19" s="90"/>
      <c r="CW19" s="62"/>
      <c r="CX19" s="62"/>
      <c r="CY19" s="62"/>
      <c r="CZ19" s="62"/>
      <c r="DA19" s="62"/>
      <c r="DB19" s="62"/>
      <c r="DC19" s="62"/>
      <c r="DD19" s="62"/>
      <c r="DE19" s="62"/>
      <c r="DF19" s="62"/>
      <c r="DG19" s="62"/>
      <c r="DH19" s="62"/>
      <c r="DI19" s="62"/>
      <c r="DJ19" s="62"/>
      <c r="DK19" s="62"/>
      <c r="DL19" s="62"/>
      <c r="DM19" s="62"/>
      <c r="DN19" s="62"/>
      <c r="DO19" s="62"/>
      <c r="DP19" s="62"/>
    </row>
    <row r="20" spans="1:120" s="3" customFormat="1" ht="21.6" thickBot="1" x14ac:dyDescent="0.35">
      <c r="A20" s="19"/>
      <c r="B20" s="41" t="s">
        <v>35</v>
      </c>
      <c r="C20" s="42"/>
      <c r="D20" s="43">
        <v>1</v>
      </c>
      <c r="E20" s="44">
        <v>46067</v>
      </c>
      <c r="F20" s="45">
        <v>46132</v>
      </c>
      <c r="G20" s="25"/>
      <c r="H20" s="25">
        <f t="shared" si="62"/>
        <v>66</v>
      </c>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c r="BV20" s="62"/>
      <c r="BW20" s="62"/>
      <c r="BX20" s="62"/>
      <c r="BY20" s="62"/>
      <c r="BZ20" s="62"/>
      <c r="CA20" s="62"/>
      <c r="CB20" s="62"/>
      <c r="CC20" s="62"/>
      <c r="CD20" s="62"/>
      <c r="CE20" s="62"/>
      <c r="CF20" s="62"/>
      <c r="CG20" s="62"/>
      <c r="CH20" s="62"/>
      <c r="CI20" s="62"/>
      <c r="CJ20" s="62"/>
      <c r="CK20" s="62"/>
      <c r="CL20" s="62"/>
      <c r="CM20" s="62"/>
      <c r="CN20" s="62"/>
      <c r="CO20" s="62"/>
      <c r="CP20" s="62"/>
      <c r="CQ20" s="62"/>
      <c r="CR20" s="62"/>
      <c r="CS20" s="62"/>
      <c r="CT20" s="62"/>
      <c r="CU20" s="62"/>
      <c r="CV20" s="62"/>
      <c r="CW20" s="62"/>
      <c r="CX20" s="62"/>
      <c r="CY20" s="62"/>
      <c r="CZ20" s="62"/>
      <c r="DA20" s="62"/>
      <c r="DB20" s="62"/>
      <c r="DC20" s="62"/>
      <c r="DD20" s="62"/>
      <c r="DE20" s="62"/>
      <c r="DF20" s="62"/>
      <c r="DG20" s="62"/>
      <c r="DH20" s="62"/>
      <c r="DI20" s="62"/>
      <c r="DJ20" s="62"/>
      <c r="DK20" s="62"/>
      <c r="DL20" s="62"/>
      <c r="DM20" s="62"/>
      <c r="DN20" s="62"/>
      <c r="DO20" s="62"/>
      <c r="DP20" s="62"/>
    </row>
    <row r="21" spans="1:120" s="3" customFormat="1" ht="21.6" thickBot="1" x14ac:dyDescent="0.35">
      <c r="A21" s="19"/>
      <c r="B21" s="41" t="s">
        <v>39</v>
      </c>
      <c r="C21" s="42"/>
      <c r="D21" s="43">
        <v>1</v>
      </c>
      <c r="E21" s="44">
        <v>46067</v>
      </c>
      <c r="F21" s="45">
        <v>46132</v>
      </c>
      <c r="G21" s="25"/>
      <c r="H21" s="25">
        <f t="shared" si="62"/>
        <v>66</v>
      </c>
      <c r="I21" s="62"/>
      <c r="J21" s="62"/>
      <c r="K21" s="62"/>
      <c r="L21" s="62"/>
      <c r="M21" s="62"/>
      <c r="N21" s="62"/>
      <c r="O21" s="62"/>
      <c r="P21" s="62"/>
      <c r="Q21" s="62"/>
      <c r="R21" s="62"/>
      <c r="S21" s="62"/>
      <c r="T21" s="62"/>
      <c r="U21" s="63"/>
      <c r="V21" s="63"/>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62"/>
      <c r="BD21" s="62"/>
      <c r="BE21" s="62"/>
      <c r="BF21" s="62"/>
      <c r="BG21" s="62"/>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2"/>
      <c r="CP21" s="62"/>
      <c r="CQ21" s="62"/>
      <c r="CR21" s="62"/>
      <c r="CS21" s="62"/>
      <c r="CT21" s="62"/>
      <c r="CU21" s="62"/>
      <c r="CV21" s="62"/>
      <c r="CW21" s="62"/>
      <c r="CX21" s="62"/>
      <c r="CY21" s="62"/>
      <c r="CZ21" s="62"/>
      <c r="DA21" s="62"/>
      <c r="DB21" s="62"/>
      <c r="DC21" s="62"/>
      <c r="DD21" s="62"/>
      <c r="DE21" s="62"/>
      <c r="DF21" s="62"/>
      <c r="DG21" s="62"/>
      <c r="DH21" s="62"/>
      <c r="DI21" s="62"/>
      <c r="DJ21" s="62"/>
      <c r="DK21" s="62"/>
      <c r="DL21" s="62"/>
      <c r="DM21" s="62"/>
      <c r="DN21" s="62"/>
      <c r="DO21" s="62"/>
      <c r="DP21" s="62"/>
    </row>
    <row r="22" spans="1:120" s="3" customFormat="1" ht="21.6" thickBot="1" x14ac:dyDescent="0.35">
      <c r="A22" s="19"/>
      <c r="B22" s="41" t="s">
        <v>40</v>
      </c>
      <c r="C22" s="42"/>
      <c r="D22" s="43">
        <v>1</v>
      </c>
      <c r="E22" s="44">
        <v>46067</v>
      </c>
      <c r="F22" s="45">
        <v>46132</v>
      </c>
      <c r="G22" s="25"/>
      <c r="H22" s="25">
        <f t="shared" si="62"/>
        <v>66</v>
      </c>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c r="BV22" s="62"/>
      <c r="BW22" s="62"/>
      <c r="BX22" s="62"/>
      <c r="BY22" s="62"/>
      <c r="BZ22" s="62"/>
      <c r="CA22" s="62"/>
      <c r="CB22" s="62"/>
      <c r="CC22" s="62"/>
      <c r="CD22" s="62"/>
      <c r="CE22" s="62"/>
      <c r="CF22" s="62"/>
      <c r="CG22" s="62"/>
      <c r="CH22" s="62"/>
      <c r="CI22" s="62"/>
      <c r="CJ22" s="62"/>
      <c r="CK22" s="62"/>
      <c r="CL22" s="62"/>
      <c r="CM22" s="62"/>
      <c r="CN22" s="62"/>
      <c r="CO22" s="62"/>
      <c r="CP22" s="62"/>
      <c r="CQ22" s="62"/>
      <c r="CR22" s="62"/>
      <c r="CS22" s="62"/>
      <c r="CT22" s="62"/>
      <c r="CU22" s="62"/>
      <c r="CV22" s="62"/>
      <c r="CW22" s="62"/>
      <c r="CX22" s="62"/>
      <c r="CY22" s="62"/>
      <c r="CZ22" s="62"/>
      <c r="DA22" s="62"/>
      <c r="DB22" s="62"/>
      <c r="DC22" s="62"/>
      <c r="DD22" s="62"/>
      <c r="DE22" s="62"/>
      <c r="DF22" s="62"/>
      <c r="DG22" s="62"/>
      <c r="DH22" s="62"/>
      <c r="DI22" s="62"/>
      <c r="DJ22" s="62"/>
      <c r="DK22" s="62"/>
      <c r="DL22" s="62"/>
      <c r="DM22" s="62"/>
      <c r="DN22" s="62"/>
      <c r="DO22" s="62"/>
      <c r="DP22" s="62"/>
    </row>
    <row r="23" spans="1:120" s="3" customFormat="1" ht="21.6" thickBot="1" x14ac:dyDescent="0.35">
      <c r="A23" s="19"/>
      <c r="B23" s="41" t="s">
        <v>41</v>
      </c>
      <c r="C23" s="42"/>
      <c r="D23" s="43">
        <v>1</v>
      </c>
      <c r="E23" s="44">
        <v>46067</v>
      </c>
      <c r="F23" s="45">
        <v>46132</v>
      </c>
      <c r="G23" s="25"/>
      <c r="H23" s="25">
        <f t="shared" si="62"/>
        <v>66</v>
      </c>
      <c r="I23" s="62"/>
      <c r="J23" s="62"/>
      <c r="K23" s="62"/>
      <c r="L23" s="62"/>
      <c r="M23" s="62"/>
      <c r="N23" s="62"/>
      <c r="O23" s="62"/>
      <c r="P23" s="62"/>
      <c r="Q23" s="62"/>
      <c r="R23" s="62"/>
      <c r="S23" s="62"/>
      <c r="T23" s="62"/>
      <c r="U23" s="62"/>
      <c r="V23" s="62"/>
      <c r="W23" s="62"/>
      <c r="X23" s="62"/>
      <c r="Y23" s="63"/>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c r="BV23" s="62"/>
      <c r="BW23" s="62"/>
      <c r="BX23" s="62"/>
      <c r="BY23" s="62"/>
      <c r="BZ23" s="62"/>
      <c r="CA23" s="62"/>
      <c r="CB23" s="62"/>
      <c r="CC23" s="62"/>
      <c r="CD23" s="62"/>
      <c r="CE23" s="62"/>
      <c r="CF23" s="62"/>
      <c r="CG23" s="62"/>
      <c r="CH23" s="62"/>
      <c r="CI23" s="62"/>
      <c r="CJ23" s="62"/>
      <c r="CK23" s="62"/>
      <c r="CL23" s="62"/>
      <c r="CM23" s="62"/>
      <c r="CN23" s="62"/>
      <c r="CO23" s="62"/>
      <c r="CP23" s="62"/>
      <c r="CQ23" s="62"/>
      <c r="CR23" s="62"/>
      <c r="CS23" s="62"/>
      <c r="CT23" s="62"/>
      <c r="CU23" s="62"/>
      <c r="CV23" s="62"/>
      <c r="CW23" s="62"/>
      <c r="CX23" s="62"/>
      <c r="CY23" s="62"/>
      <c r="CZ23" s="62"/>
      <c r="DA23" s="62"/>
      <c r="DB23" s="62"/>
      <c r="DC23" s="62"/>
      <c r="DD23" s="62"/>
      <c r="DE23" s="62"/>
      <c r="DF23" s="62"/>
      <c r="DG23" s="62"/>
      <c r="DH23" s="62"/>
      <c r="DI23" s="62"/>
      <c r="DJ23" s="62"/>
      <c r="DK23" s="62"/>
      <c r="DL23" s="62"/>
      <c r="DM23" s="62"/>
      <c r="DN23" s="62"/>
      <c r="DO23" s="62"/>
      <c r="DP23" s="62"/>
    </row>
    <row r="24" spans="1:120" s="3" customFormat="1" ht="21.6" thickBot="1" x14ac:dyDescent="0.35">
      <c r="A24" s="19"/>
      <c r="B24" s="41" t="s">
        <v>42</v>
      </c>
      <c r="C24" s="42"/>
      <c r="D24" s="43">
        <v>1</v>
      </c>
      <c r="E24" s="44">
        <v>46067</v>
      </c>
      <c r="F24" s="45">
        <v>46132</v>
      </c>
      <c r="G24" s="25"/>
      <c r="H24" s="25">
        <f t="shared" si="62"/>
        <v>66</v>
      </c>
      <c r="I24" s="62"/>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c r="CW24" s="62"/>
      <c r="CX24" s="62"/>
      <c r="CY24" s="62"/>
      <c r="CZ24" s="62"/>
      <c r="DA24" s="62"/>
      <c r="DB24" s="62"/>
      <c r="DC24" s="62"/>
      <c r="DD24" s="62"/>
      <c r="DE24" s="62"/>
      <c r="DF24" s="62"/>
      <c r="DG24" s="62"/>
      <c r="DH24" s="62"/>
      <c r="DI24" s="62"/>
      <c r="DJ24" s="62"/>
      <c r="DK24" s="62"/>
      <c r="DL24" s="62"/>
      <c r="DM24" s="62"/>
      <c r="DN24" s="62"/>
      <c r="DO24" s="62"/>
      <c r="DP24" s="62"/>
    </row>
    <row r="25" spans="1:120" s="3" customFormat="1" ht="21.6" thickBot="1" x14ac:dyDescent="0.35">
      <c r="A25" s="19"/>
      <c r="B25" s="46" t="s">
        <v>9</v>
      </c>
      <c r="C25" s="47"/>
      <c r="D25" s="48"/>
      <c r="E25" s="49"/>
      <c r="F25" s="50"/>
      <c r="G25" s="25"/>
      <c r="H25" s="25" t="str">
        <f t="shared" si="62"/>
        <v/>
      </c>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2"/>
      <c r="CL25" s="62"/>
      <c r="CM25" s="62"/>
      <c r="CN25" s="62"/>
      <c r="CO25" s="62"/>
      <c r="CP25" s="62"/>
      <c r="CQ25" s="62"/>
      <c r="CR25" s="62"/>
      <c r="CS25" s="62"/>
      <c r="CT25" s="62"/>
      <c r="CU25" s="62"/>
      <c r="CV25" s="62"/>
      <c r="CW25" s="62"/>
      <c r="CX25" s="62"/>
      <c r="CY25" s="62"/>
      <c r="CZ25" s="62"/>
      <c r="DA25" s="62"/>
      <c r="DB25" s="62"/>
      <c r="DC25" s="62"/>
      <c r="DD25" s="62"/>
      <c r="DE25" s="62"/>
      <c r="DF25" s="62"/>
      <c r="DG25" s="62"/>
      <c r="DH25" s="62"/>
      <c r="DI25" s="62"/>
      <c r="DJ25" s="62"/>
      <c r="DK25" s="62"/>
      <c r="DL25" s="62"/>
      <c r="DM25" s="62"/>
      <c r="DN25" s="62"/>
      <c r="DO25" s="62"/>
      <c r="DP25" s="62"/>
    </row>
    <row r="26" spans="1:120" s="3" customFormat="1" ht="21.6" thickBot="1" x14ac:dyDescent="0.35">
      <c r="A26" s="19"/>
      <c r="B26" s="51" t="s">
        <v>36</v>
      </c>
      <c r="C26" s="52"/>
      <c r="D26" s="53">
        <v>0.9</v>
      </c>
      <c r="E26" s="54">
        <v>46132</v>
      </c>
      <c r="F26" s="55">
        <v>46143</v>
      </c>
      <c r="G26" s="25"/>
      <c r="H26" s="25">
        <f t="shared" si="62"/>
        <v>12</v>
      </c>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2"/>
      <c r="BK26" s="62"/>
      <c r="BL26" s="62"/>
      <c r="BM26" s="62"/>
      <c r="BN26" s="62"/>
      <c r="BO26" s="62"/>
      <c r="BP26" s="62"/>
      <c r="BQ26" s="62"/>
      <c r="BR26" s="62"/>
      <c r="BS26" s="62"/>
      <c r="BT26" s="62"/>
      <c r="BU26" s="62"/>
      <c r="BV26" s="62"/>
      <c r="BW26" s="62"/>
      <c r="BX26" s="62"/>
      <c r="BY26" s="62"/>
      <c r="BZ26" s="62"/>
      <c r="CA26" s="62"/>
      <c r="CB26" s="62"/>
      <c r="CC26" s="62"/>
      <c r="CD26" s="62"/>
      <c r="CE26" s="62"/>
      <c r="CF26" s="62"/>
      <c r="CG26" s="62"/>
      <c r="CH26" s="62"/>
      <c r="CI26" s="62"/>
      <c r="CJ26" s="62"/>
      <c r="CK26" s="62"/>
      <c r="CL26" s="62"/>
      <c r="CM26" s="62"/>
      <c r="CN26" s="62"/>
      <c r="CO26" s="62"/>
      <c r="CP26" s="62"/>
      <c r="CQ26" s="62"/>
      <c r="CR26" s="62"/>
      <c r="CS26" s="62"/>
      <c r="CT26" s="62"/>
      <c r="CU26" s="62"/>
      <c r="CV26" s="62"/>
      <c r="CW26" s="62"/>
      <c r="CX26" s="62"/>
      <c r="CY26" s="62"/>
      <c r="CZ26" s="62"/>
      <c r="DA26" s="62"/>
      <c r="DB26" s="62"/>
      <c r="DC26" s="62"/>
      <c r="DD26" s="62"/>
      <c r="DE26" s="62"/>
      <c r="DF26" s="62"/>
      <c r="DG26" s="62"/>
      <c r="DH26" s="62"/>
      <c r="DI26" s="62"/>
      <c r="DJ26" s="62"/>
      <c r="DK26" s="62"/>
      <c r="DL26" s="62"/>
      <c r="DM26" s="62"/>
      <c r="DN26" s="62"/>
      <c r="DO26" s="62"/>
      <c r="DP26" s="62"/>
    </row>
    <row r="27" spans="1:120" s="3" customFormat="1" ht="21.6" thickBot="1" x14ac:dyDescent="0.35">
      <c r="A27" s="19"/>
      <c r="B27" s="86"/>
      <c r="C27" s="87"/>
      <c r="D27" s="83"/>
      <c r="E27" s="84"/>
      <c r="F27" s="85"/>
      <c r="G27" s="25"/>
      <c r="H27" s="25" t="str">
        <f t="shared" si="62"/>
        <v/>
      </c>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2"/>
      <c r="CP27" s="62"/>
      <c r="CQ27" s="62"/>
      <c r="CR27" s="62"/>
      <c r="CS27" s="62"/>
      <c r="CT27" s="62"/>
      <c r="CU27" s="62"/>
      <c r="CV27" s="62"/>
      <c r="CW27" s="62"/>
      <c r="CX27" s="62"/>
      <c r="CY27" s="62"/>
      <c r="CZ27" s="62"/>
      <c r="DA27" s="62"/>
      <c r="DB27" s="62"/>
      <c r="DC27" s="62"/>
      <c r="DD27" s="62"/>
      <c r="DE27" s="62"/>
      <c r="DF27" s="62"/>
      <c r="DG27" s="62"/>
      <c r="DH27" s="62"/>
      <c r="DI27" s="62"/>
      <c r="DJ27" s="62"/>
      <c r="DK27" s="62"/>
      <c r="DL27" s="62"/>
      <c r="DM27" s="62"/>
      <c r="DN27" s="62"/>
      <c r="DO27" s="62"/>
      <c r="DP27" s="62"/>
    </row>
    <row r="28" spans="1:120" s="3" customFormat="1" ht="21.6" thickBot="1" x14ac:dyDescent="0.35">
      <c r="A28" s="19"/>
      <c r="B28" s="86"/>
      <c r="C28" s="87"/>
      <c r="D28" s="83"/>
      <c r="E28" s="84"/>
      <c r="F28" s="85"/>
      <c r="G28" s="25"/>
      <c r="H28" s="25" t="str">
        <f t="shared" si="62"/>
        <v/>
      </c>
      <c r="I28" s="62"/>
      <c r="J28" s="62"/>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c r="BM28" s="62"/>
      <c r="BN28" s="62"/>
      <c r="BO28" s="62"/>
      <c r="BP28" s="62"/>
      <c r="BQ28" s="62"/>
      <c r="BR28" s="62"/>
      <c r="BS28" s="62"/>
      <c r="BT28" s="62"/>
      <c r="BU28" s="62"/>
      <c r="BV28" s="62"/>
      <c r="BW28" s="62"/>
      <c r="BX28" s="62"/>
      <c r="BY28" s="62"/>
      <c r="BZ28" s="62"/>
      <c r="CA28" s="62"/>
      <c r="CB28" s="62"/>
      <c r="CC28" s="62"/>
      <c r="CD28" s="62"/>
      <c r="CE28" s="62"/>
      <c r="CF28" s="62"/>
      <c r="CG28" s="62"/>
      <c r="CH28" s="62"/>
      <c r="CI28" s="62"/>
      <c r="CJ28" s="62"/>
      <c r="CK28" s="62"/>
      <c r="CL28" s="62"/>
      <c r="CM28" s="62"/>
      <c r="CN28" s="62"/>
      <c r="CO28" s="62"/>
      <c r="CP28" s="62"/>
      <c r="CQ28" s="62"/>
      <c r="CR28" s="62"/>
      <c r="CS28" s="62"/>
      <c r="CT28" s="62"/>
      <c r="CU28" s="62"/>
      <c r="CV28" s="62"/>
      <c r="CW28" s="62"/>
      <c r="CX28" s="62"/>
      <c r="CY28" s="62"/>
      <c r="CZ28" s="62"/>
      <c r="DA28" s="62"/>
      <c r="DB28" s="62"/>
      <c r="DC28" s="62"/>
      <c r="DD28" s="62"/>
      <c r="DE28" s="62"/>
      <c r="DF28" s="62"/>
      <c r="DG28" s="62"/>
      <c r="DH28" s="62"/>
      <c r="DI28" s="62"/>
      <c r="DJ28" s="62"/>
      <c r="DK28" s="62"/>
      <c r="DL28" s="62"/>
      <c r="DM28" s="62"/>
      <c r="DN28" s="62"/>
      <c r="DO28" s="62"/>
      <c r="DP28" s="62"/>
    </row>
    <row r="29" spans="1:120" s="3" customFormat="1" ht="21.6" thickBot="1" x14ac:dyDescent="0.35">
      <c r="A29" s="19"/>
      <c r="B29" s="86"/>
      <c r="C29" s="87"/>
      <c r="D29" s="83"/>
      <c r="E29" s="84"/>
      <c r="F29" s="85"/>
      <c r="G29" s="25"/>
      <c r="H29" s="25"/>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2"/>
      <c r="BK29" s="62"/>
      <c r="BL29" s="62"/>
      <c r="BM29" s="62"/>
      <c r="BN29" s="62"/>
      <c r="BO29" s="62"/>
      <c r="BP29" s="62"/>
      <c r="BQ29" s="62"/>
      <c r="BR29" s="62"/>
      <c r="BS29" s="62"/>
      <c r="BT29" s="62"/>
      <c r="BU29" s="62"/>
      <c r="BV29" s="62"/>
      <c r="BW29" s="62"/>
      <c r="BX29" s="62"/>
      <c r="BY29" s="62"/>
      <c r="BZ29" s="62"/>
      <c r="CA29" s="62"/>
      <c r="CB29" s="62"/>
      <c r="CC29" s="62"/>
      <c r="CD29" s="62"/>
      <c r="CE29" s="62"/>
      <c r="CF29" s="62"/>
      <c r="CG29" s="62"/>
      <c r="CH29" s="62"/>
      <c r="CI29" s="62"/>
      <c r="CJ29" s="62"/>
      <c r="CK29" s="62"/>
      <c r="CL29" s="62"/>
      <c r="CM29" s="62"/>
      <c r="CN29" s="62"/>
      <c r="CO29" s="62"/>
      <c r="CP29" s="62"/>
      <c r="CQ29" s="62"/>
      <c r="CR29" s="62"/>
      <c r="CS29" s="62"/>
      <c r="CT29" s="62"/>
      <c r="CU29" s="62"/>
      <c r="CV29" s="62"/>
      <c r="CW29" s="62"/>
      <c r="CX29" s="62"/>
      <c r="CY29" s="62"/>
      <c r="CZ29" s="62"/>
      <c r="DA29" s="62"/>
      <c r="DB29" s="62"/>
      <c r="DC29" s="62"/>
      <c r="DD29" s="62"/>
      <c r="DE29" s="62"/>
      <c r="DF29" s="62"/>
      <c r="DG29" s="62"/>
      <c r="DH29" s="62"/>
      <c r="DI29" s="62"/>
      <c r="DJ29" s="62"/>
      <c r="DK29" s="62"/>
      <c r="DL29" s="62"/>
      <c r="DM29" s="62"/>
      <c r="DN29" s="62"/>
      <c r="DO29" s="62"/>
      <c r="DP29" s="62"/>
    </row>
    <row r="30" spans="1:120" s="3" customFormat="1" ht="21.6" thickBot="1" x14ac:dyDescent="0.35">
      <c r="A30" s="19"/>
      <c r="B30" s="86"/>
      <c r="C30" s="87"/>
      <c r="D30" s="83"/>
      <c r="E30" s="84"/>
      <c r="F30" s="85"/>
      <c r="G30" s="25"/>
      <c r="H30" s="25"/>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c r="BM30" s="62"/>
      <c r="BN30" s="62"/>
      <c r="BO30" s="62"/>
      <c r="BP30" s="62"/>
      <c r="BQ30" s="62"/>
      <c r="BR30" s="62"/>
      <c r="BS30" s="62"/>
      <c r="BT30" s="62"/>
      <c r="BU30" s="62"/>
      <c r="BV30" s="62"/>
      <c r="BW30" s="62"/>
      <c r="BX30" s="62"/>
      <c r="BY30" s="62"/>
      <c r="BZ30" s="62"/>
      <c r="CA30" s="62"/>
      <c r="CB30" s="62"/>
      <c r="CC30" s="62"/>
      <c r="CD30" s="62"/>
      <c r="CE30" s="62"/>
      <c r="CF30" s="62"/>
      <c r="CG30" s="62"/>
      <c r="CH30" s="62"/>
      <c r="CI30" s="62"/>
      <c r="CJ30" s="62"/>
      <c r="CK30" s="62"/>
      <c r="CL30" s="62"/>
      <c r="CM30" s="62"/>
      <c r="CN30" s="62"/>
      <c r="CO30" s="62"/>
      <c r="CP30" s="62"/>
      <c r="CQ30" s="62"/>
      <c r="CR30" s="62"/>
      <c r="CS30" s="62"/>
      <c r="CT30" s="62"/>
      <c r="CU30" s="62"/>
      <c r="CV30" s="62"/>
      <c r="CW30" s="62"/>
      <c r="CX30" s="62"/>
      <c r="CY30" s="62"/>
      <c r="CZ30" s="62"/>
      <c r="DA30" s="62"/>
      <c r="DB30" s="62"/>
      <c r="DC30" s="62"/>
      <c r="DD30" s="62"/>
      <c r="DE30" s="62"/>
      <c r="DF30" s="62"/>
      <c r="DG30" s="62"/>
      <c r="DH30" s="62"/>
      <c r="DI30" s="62"/>
      <c r="DJ30" s="62"/>
      <c r="DK30" s="62"/>
      <c r="DL30" s="62"/>
      <c r="DM30" s="62"/>
      <c r="DN30" s="62"/>
      <c r="DO30" s="62"/>
      <c r="DP30" s="62"/>
    </row>
    <row r="31" spans="1:120" s="3" customFormat="1" ht="21.6" thickBot="1" x14ac:dyDescent="0.35">
      <c r="A31" s="19"/>
      <c r="B31" s="81"/>
      <c r="C31" s="82"/>
      <c r="D31" s="83"/>
      <c r="E31" s="84"/>
      <c r="F31" s="85"/>
      <c r="G31" s="25"/>
      <c r="H31" s="25"/>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AZ31" s="62"/>
      <c r="BA31" s="62"/>
      <c r="BB31" s="62"/>
      <c r="BC31" s="62"/>
      <c r="BD31" s="62"/>
      <c r="BE31" s="62"/>
      <c r="BF31" s="62"/>
      <c r="BG31" s="62"/>
      <c r="BH31" s="62"/>
      <c r="BI31" s="62"/>
      <c r="BJ31" s="62"/>
      <c r="BK31" s="62"/>
      <c r="BL31" s="62"/>
      <c r="BM31" s="62"/>
      <c r="BN31" s="62"/>
      <c r="BO31" s="62"/>
      <c r="BP31" s="62"/>
      <c r="BQ31" s="62"/>
      <c r="BR31" s="62"/>
      <c r="BS31" s="62"/>
      <c r="BT31" s="62"/>
      <c r="BU31" s="62"/>
      <c r="BV31" s="62"/>
      <c r="BW31" s="62"/>
      <c r="BX31" s="62"/>
      <c r="BY31" s="62"/>
      <c r="BZ31" s="62"/>
      <c r="CA31" s="62"/>
      <c r="CB31" s="62"/>
      <c r="CC31" s="62"/>
      <c r="CD31" s="62"/>
      <c r="CE31" s="62"/>
      <c r="CF31" s="62"/>
      <c r="CG31" s="62"/>
      <c r="CH31" s="62"/>
      <c r="CI31" s="62"/>
      <c r="CJ31" s="62"/>
      <c r="CK31" s="62"/>
      <c r="CL31" s="62"/>
      <c r="CM31" s="62"/>
      <c r="CN31" s="62"/>
      <c r="CO31" s="62"/>
      <c r="CP31" s="62"/>
      <c r="CQ31" s="62"/>
      <c r="CR31" s="62"/>
      <c r="CS31" s="62"/>
      <c r="CT31" s="62"/>
      <c r="CU31" s="62"/>
      <c r="CV31" s="62"/>
      <c r="CW31" s="62"/>
      <c r="CX31" s="62"/>
      <c r="CY31" s="62"/>
      <c r="CZ31" s="62"/>
      <c r="DA31" s="62"/>
      <c r="DB31" s="62"/>
      <c r="DC31" s="62"/>
      <c r="DD31" s="62"/>
      <c r="DE31" s="62"/>
      <c r="DF31" s="62"/>
      <c r="DG31" s="62"/>
      <c r="DH31" s="62"/>
      <c r="DI31" s="62"/>
      <c r="DJ31" s="62"/>
      <c r="DK31" s="62"/>
      <c r="DL31" s="62"/>
      <c r="DM31" s="62"/>
      <c r="DN31" s="62"/>
      <c r="DO31" s="62"/>
      <c r="DP31" s="62"/>
    </row>
    <row r="32" spans="1:120" s="3" customFormat="1" ht="21.6" thickBot="1" x14ac:dyDescent="0.35">
      <c r="A32" s="19"/>
      <c r="B32" s="86"/>
      <c r="C32" s="87"/>
      <c r="D32" s="83"/>
      <c r="E32" s="84"/>
      <c r="F32" s="85"/>
      <c r="G32" s="25"/>
      <c r="H32" s="25"/>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62"/>
      <c r="BD32" s="62"/>
      <c r="BE32" s="62"/>
      <c r="BF32" s="62"/>
      <c r="BG32" s="62"/>
      <c r="BH32" s="62"/>
      <c r="BI32" s="62"/>
      <c r="BJ32" s="62"/>
      <c r="BK32" s="62"/>
      <c r="BL32" s="62"/>
      <c r="BM32" s="62"/>
      <c r="BN32" s="62"/>
      <c r="BO32" s="62"/>
      <c r="BP32" s="62"/>
      <c r="BQ32" s="62"/>
      <c r="BR32" s="62"/>
      <c r="BS32" s="62"/>
      <c r="BT32" s="62"/>
      <c r="BU32" s="62"/>
      <c r="BV32" s="62"/>
      <c r="BW32" s="62"/>
      <c r="BX32" s="62"/>
      <c r="BY32" s="62"/>
      <c r="BZ32" s="62"/>
      <c r="CA32" s="62"/>
      <c r="CB32" s="62"/>
      <c r="CC32" s="62"/>
      <c r="CD32" s="62"/>
      <c r="CE32" s="62"/>
      <c r="CF32" s="62"/>
      <c r="CG32" s="62"/>
      <c r="CH32" s="62"/>
      <c r="CI32" s="62"/>
      <c r="CJ32" s="62"/>
      <c r="CK32" s="62"/>
      <c r="CL32" s="62"/>
      <c r="CM32" s="62"/>
      <c r="CN32" s="62"/>
      <c r="CO32" s="62"/>
      <c r="CP32" s="62"/>
      <c r="CQ32" s="62"/>
      <c r="CR32" s="62"/>
      <c r="CS32" s="62"/>
      <c r="CT32" s="62"/>
      <c r="CU32" s="62"/>
      <c r="CV32" s="62"/>
      <c r="CW32" s="62"/>
      <c r="CX32" s="62"/>
      <c r="CY32" s="62"/>
      <c r="CZ32" s="62"/>
      <c r="DA32" s="62"/>
      <c r="DB32" s="62"/>
      <c r="DC32" s="62"/>
      <c r="DD32" s="62"/>
      <c r="DE32" s="62"/>
      <c r="DF32" s="62"/>
      <c r="DG32" s="62"/>
      <c r="DH32" s="62"/>
      <c r="DI32" s="62"/>
      <c r="DJ32" s="62"/>
      <c r="DK32" s="62"/>
      <c r="DL32" s="62"/>
      <c r="DM32" s="62"/>
      <c r="DN32" s="62"/>
      <c r="DO32" s="62"/>
      <c r="DP32" s="62"/>
    </row>
    <row r="33" spans="1:120" s="3" customFormat="1" ht="21.6" thickBot="1" x14ac:dyDescent="0.35">
      <c r="A33" s="19"/>
      <c r="B33" s="86"/>
      <c r="C33" s="87"/>
      <c r="D33" s="83"/>
      <c r="E33" s="84"/>
      <c r="F33" s="85"/>
      <c r="G33" s="25"/>
      <c r="H33" s="25"/>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2"/>
      <c r="BK33" s="62"/>
      <c r="BL33" s="62"/>
      <c r="BM33" s="62"/>
      <c r="BN33" s="62"/>
      <c r="BO33" s="62"/>
      <c r="BP33" s="62"/>
      <c r="BQ33" s="62"/>
      <c r="BR33" s="62"/>
      <c r="BS33" s="62"/>
      <c r="BT33" s="62"/>
      <c r="BU33" s="62"/>
      <c r="BV33" s="62"/>
      <c r="BW33" s="62"/>
      <c r="BX33" s="62"/>
      <c r="BY33" s="62"/>
      <c r="BZ33" s="62"/>
      <c r="CA33" s="62"/>
      <c r="CB33" s="62"/>
      <c r="CC33" s="62"/>
      <c r="CD33" s="62"/>
      <c r="CE33" s="62"/>
      <c r="CF33" s="62"/>
      <c r="CG33" s="62"/>
      <c r="CH33" s="62"/>
      <c r="CI33" s="62"/>
      <c r="CJ33" s="62"/>
      <c r="CK33" s="62"/>
      <c r="CL33" s="62"/>
      <c r="CM33" s="62"/>
      <c r="CN33" s="62"/>
      <c r="CO33" s="62"/>
      <c r="CP33" s="62"/>
      <c r="CQ33" s="62"/>
      <c r="CR33" s="62"/>
      <c r="CS33" s="62"/>
      <c r="CT33" s="62"/>
      <c r="CU33" s="62"/>
      <c r="CV33" s="62"/>
      <c r="CW33" s="62"/>
      <c r="CX33" s="62"/>
      <c r="CY33" s="62"/>
      <c r="CZ33" s="62"/>
      <c r="DA33" s="62"/>
      <c r="DB33" s="62"/>
      <c r="DC33" s="62"/>
      <c r="DD33" s="62"/>
      <c r="DE33" s="62"/>
      <c r="DF33" s="62"/>
      <c r="DG33" s="62"/>
      <c r="DH33" s="62"/>
      <c r="DI33" s="62"/>
      <c r="DJ33" s="62"/>
      <c r="DK33" s="62"/>
      <c r="DL33" s="62"/>
      <c r="DM33" s="62"/>
      <c r="DN33" s="62"/>
      <c r="DO33" s="62"/>
      <c r="DP33" s="62"/>
    </row>
    <row r="34" spans="1:120" s="3" customFormat="1" ht="21.6" thickBot="1" x14ac:dyDescent="0.35">
      <c r="A34" s="19"/>
      <c r="B34" s="86"/>
      <c r="C34" s="87"/>
      <c r="D34" s="83"/>
      <c r="E34" s="84"/>
      <c r="F34" s="85"/>
      <c r="G34" s="25"/>
      <c r="H34" s="25"/>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2"/>
      <c r="BK34" s="62"/>
      <c r="BL34" s="62"/>
      <c r="BM34" s="62"/>
      <c r="BN34" s="62"/>
      <c r="BO34" s="62"/>
      <c r="BP34" s="62"/>
      <c r="BQ34" s="62"/>
      <c r="BR34" s="62"/>
      <c r="BS34" s="62"/>
      <c r="BT34" s="62"/>
      <c r="BU34" s="62"/>
      <c r="BV34" s="62"/>
      <c r="BW34" s="62"/>
      <c r="BX34" s="62"/>
      <c r="BY34" s="62"/>
      <c r="BZ34" s="62"/>
      <c r="CA34" s="62"/>
      <c r="CB34" s="62"/>
      <c r="CC34" s="62"/>
      <c r="CD34" s="62"/>
      <c r="CE34" s="62"/>
      <c r="CF34" s="62"/>
      <c r="CG34" s="62"/>
      <c r="CH34" s="62"/>
      <c r="CI34" s="62"/>
      <c r="CJ34" s="62"/>
      <c r="CK34" s="62"/>
      <c r="CL34" s="62"/>
      <c r="CM34" s="62"/>
      <c r="CN34" s="62"/>
      <c r="CO34" s="62"/>
      <c r="CP34" s="62"/>
      <c r="CQ34" s="62"/>
      <c r="CR34" s="62"/>
      <c r="CS34" s="62"/>
      <c r="CT34" s="62"/>
      <c r="CU34" s="62"/>
      <c r="CV34" s="62"/>
      <c r="CW34" s="62"/>
      <c r="CX34" s="62"/>
      <c r="CY34" s="62"/>
      <c r="CZ34" s="62"/>
      <c r="DA34" s="62"/>
      <c r="DB34" s="62"/>
      <c r="DC34" s="62"/>
      <c r="DD34" s="62"/>
      <c r="DE34" s="62"/>
      <c r="DF34" s="62"/>
      <c r="DG34" s="62"/>
      <c r="DH34" s="62"/>
      <c r="DI34" s="62"/>
      <c r="DJ34" s="62"/>
      <c r="DK34" s="62"/>
      <c r="DL34" s="62"/>
      <c r="DM34" s="62"/>
      <c r="DN34" s="62"/>
      <c r="DO34" s="62"/>
      <c r="DP34" s="62"/>
    </row>
    <row r="35" spans="1:120" s="3" customFormat="1" ht="21.6" thickBot="1" x14ac:dyDescent="0.35">
      <c r="A35" s="19"/>
      <c r="B35" s="86"/>
      <c r="C35" s="87"/>
      <c r="D35" s="83"/>
      <c r="E35" s="84"/>
      <c r="F35" s="85"/>
      <c r="G35" s="25"/>
      <c r="H35" s="25"/>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2"/>
      <c r="BK35" s="62"/>
      <c r="BL35" s="62"/>
      <c r="BM35" s="62"/>
      <c r="BN35" s="62"/>
      <c r="BO35" s="62"/>
      <c r="BP35" s="62"/>
      <c r="BQ35" s="62"/>
      <c r="BR35" s="62"/>
      <c r="BS35" s="62"/>
      <c r="BT35" s="62"/>
      <c r="BU35" s="62"/>
      <c r="BV35" s="62"/>
      <c r="BW35" s="62"/>
      <c r="BX35" s="62"/>
      <c r="BY35" s="62"/>
      <c r="BZ35" s="62"/>
      <c r="CA35" s="62"/>
      <c r="CB35" s="62"/>
      <c r="CC35" s="62"/>
      <c r="CD35" s="62"/>
      <c r="CE35" s="62"/>
      <c r="CF35" s="62"/>
      <c r="CG35" s="62"/>
      <c r="CH35" s="62"/>
      <c r="CI35" s="62"/>
      <c r="CJ35" s="62"/>
      <c r="CK35" s="62"/>
      <c r="CL35" s="62"/>
      <c r="CM35" s="62"/>
      <c r="CN35" s="62"/>
      <c r="CO35" s="62"/>
      <c r="CP35" s="62"/>
      <c r="CQ35" s="62"/>
      <c r="CR35" s="62"/>
      <c r="CS35" s="62"/>
      <c r="CT35" s="62"/>
      <c r="CU35" s="62"/>
      <c r="CV35" s="62"/>
      <c r="CW35" s="62"/>
      <c r="CX35" s="62"/>
      <c r="CY35" s="62"/>
      <c r="CZ35" s="62"/>
      <c r="DA35" s="62"/>
      <c r="DB35" s="62"/>
      <c r="DC35" s="62"/>
      <c r="DD35" s="62"/>
      <c r="DE35" s="62"/>
      <c r="DF35" s="62"/>
      <c r="DG35" s="62"/>
      <c r="DH35" s="62"/>
      <c r="DI35" s="62"/>
      <c r="DJ35" s="62"/>
      <c r="DK35" s="62"/>
      <c r="DL35" s="62"/>
      <c r="DM35" s="62"/>
      <c r="DN35" s="62"/>
      <c r="DO35" s="62"/>
      <c r="DP35" s="62"/>
    </row>
    <row r="36" spans="1:120" s="3" customFormat="1" ht="21.6" thickBot="1" x14ac:dyDescent="0.35">
      <c r="A36" s="19"/>
      <c r="B36" s="86"/>
      <c r="C36" s="87"/>
      <c r="D36" s="83"/>
      <c r="E36" s="84"/>
      <c r="F36" s="85"/>
      <c r="G36" s="25"/>
      <c r="H36" s="25"/>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2"/>
      <c r="BU36" s="62"/>
      <c r="BV36" s="62"/>
      <c r="BW36" s="62"/>
      <c r="BX36" s="62"/>
      <c r="BY36" s="62"/>
      <c r="BZ36" s="62"/>
      <c r="CA36" s="62"/>
      <c r="CB36" s="62"/>
      <c r="CC36" s="62"/>
      <c r="CD36" s="62"/>
      <c r="CE36" s="62"/>
      <c r="CF36" s="62"/>
      <c r="CG36" s="62"/>
      <c r="CH36" s="62"/>
      <c r="CI36" s="62"/>
      <c r="CJ36" s="62"/>
      <c r="CK36" s="62"/>
      <c r="CL36" s="62"/>
      <c r="CM36" s="62"/>
      <c r="CN36" s="62"/>
      <c r="CO36" s="62"/>
      <c r="CP36" s="62"/>
      <c r="CQ36" s="62"/>
      <c r="CR36" s="62"/>
      <c r="CS36" s="62"/>
      <c r="CT36" s="62"/>
      <c r="CU36" s="62"/>
      <c r="CV36" s="62"/>
      <c r="CW36" s="62"/>
      <c r="CX36" s="62"/>
      <c r="CY36" s="62"/>
      <c r="CZ36" s="62"/>
      <c r="DA36" s="62"/>
      <c r="DB36" s="62"/>
      <c r="DC36" s="62"/>
      <c r="DD36" s="62"/>
      <c r="DE36" s="62"/>
      <c r="DF36" s="62"/>
      <c r="DG36" s="62"/>
      <c r="DH36" s="62"/>
      <c r="DI36" s="62"/>
      <c r="DJ36" s="62"/>
      <c r="DK36" s="62"/>
      <c r="DL36" s="62"/>
      <c r="DM36" s="62"/>
      <c r="DN36" s="62"/>
      <c r="DO36" s="62"/>
      <c r="DP36" s="62"/>
    </row>
    <row r="37" spans="1:120" s="3" customFormat="1" ht="21.6" thickBot="1" x14ac:dyDescent="0.35">
      <c r="A37" s="19"/>
      <c r="B37" s="81"/>
      <c r="C37" s="82"/>
      <c r="D37" s="83"/>
      <c r="E37" s="84"/>
      <c r="F37" s="85"/>
      <c r="G37" s="25"/>
      <c r="H37" s="25"/>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c r="CN37" s="62"/>
      <c r="CO37" s="62"/>
      <c r="CP37" s="62"/>
      <c r="CQ37" s="62"/>
      <c r="CR37" s="62"/>
      <c r="CS37" s="62"/>
      <c r="CT37" s="62"/>
      <c r="CU37" s="62"/>
      <c r="CV37" s="62"/>
      <c r="CW37" s="62"/>
      <c r="CX37" s="62"/>
      <c r="CY37" s="62"/>
      <c r="CZ37" s="62"/>
      <c r="DA37" s="62"/>
      <c r="DB37" s="62"/>
      <c r="DC37" s="62"/>
      <c r="DD37" s="62"/>
      <c r="DE37" s="62"/>
      <c r="DF37" s="62"/>
      <c r="DG37" s="62"/>
      <c r="DH37" s="62"/>
      <c r="DI37" s="62"/>
      <c r="DJ37" s="62"/>
      <c r="DK37" s="62"/>
      <c r="DL37" s="62"/>
      <c r="DM37" s="62"/>
      <c r="DN37" s="62"/>
      <c r="DO37" s="62"/>
      <c r="DP37" s="62"/>
    </row>
    <row r="38" spans="1:120" s="3" customFormat="1" ht="21.6" thickBot="1" x14ac:dyDescent="0.35">
      <c r="A38" s="19"/>
      <c r="B38" s="86"/>
      <c r="C38" s="87"/>
      <c r="D38" s="83"/>
      <c r="E38" s="84"/>
      <c r="F38" s="85"/>
      <c r="G38" s="25"/>
      <c r="H38" s="25"/>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2"/>
      <c r="AZ38" s="62"/>
      <c r="BA38" s="62"/>
      <c r="BB38" s="62"/>
      <c r="BC38" s="62"/>
      <c r="BD38" s="62"/>
      <c r="BE38" s="62"/>
      <c r="BF38" s="62"/>
      <c r="BG38" s="62"/>
      <c r="BH38" s="62"/>
      <c r="BI38" s="62"/>
      <c r="BJ38" s="62"/>
      <c r="BK38" s="62"/>
      <c r="BL38" s="62"/>
      <c r="BM38" s="62"/>
      <c r="BN38" s="62"/>
      <c r="BO38" s="62"/>
      <c r="BP38" s="62"/>
      <c r="BQ38" s="62"/>
      <c r="BR38" s="62"/>
      <c r="BS38" s="62"/>
      <c r="BT38" s="62"/>
      <c r="BU38" s="62"/>
      <c r="BV38" s="62"/>
      <c r="BW38" s="62"/>
      <c r="BX38" s="62"/>
      <c r="BY38" s="62"/>
      <c r="BZ38" s="62"/>
      <c r="CA38" s="62"/>
      <c r="CB38" s="62"/>
      <c r="CC38" s="62"/>
      <c r="CD38" s="62"/>
      <c r="CE38" s="62"/>
      <c r="CF38" s="62"/>
      <c r="CG38" s="62"/>
      <c r="CH38" s="62"/>
      <c r="CI38" s="62"/>
      <c r="CJ38" s="62"/>
      <c r="CK38" s="62"/>
      <c r="CL38" s="62"/>
      <c r="CM38" s="62"/>
      <c r="CN38" s="62"/>
      <c r="CO38" s="62"/>
      <c r="CP38" s="62"/>
      <c r="CQ38" s="62"/>
      <c r="CR38" s="62"/>
      <c r="CS38" s="62"/>
      <c r="CT38" s="62"/>
      <c r="CU38" s="62"/>
      <c r="CV38" s="62"/>
      <c r="CW38" s="62"/>
      <c r="CX38" s="62"/>
      <c r="CY38" s="62"/>
      <c r="CZ38" s="62"/>
      <c r="DA38" s="62"/>
      <c r="DB38" s="62"/>
      <c r="DC38" s="62"/>
      <c r="DD38" s="62"/>
      <c r="DE38" s="62"/>
      <c r="DF38" s="62"/>
      <c r="DG38" s="62"/>
      <c r="DH38" s="62"/>
      <c r="DI38" s="62"/>
      <c r="DJ38" s="62"/>
      <c r="DK38" s="62"/>
      <c r="DL38" s="62"/>
      <c r="DM38" s="62"/>
      <c r="DN38" s="62"/>
      <c r="DO38" s="62"/>
      <c r="DP38" s="62"/>
    </row>
    <row r="39" spans="1:120" s="3" customFormat="1" ht="21.6" thickBot="1" x14ac:dyDescent="0.35">
      <c r="A39" s="19"/>
      <c r="B39" s="86"/>
      <c r="C39" s="87"/>
      <c r="D39" s="83"/>
      <c r="E39" s="84"/>
      <c r="F39" s="85"/>
      <c r="G39" s="25"/>
      <c r="H39" s="25"/>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c r="AW39" s="62"/>
      <c r="AX39" s="62"/>
      <c r="AY39" s="62"/>
      <c r="AZ39" s="62"/>
      <c r="BA39" s="62"/>
      <c r="BB39" s="62"/>
      <c r="BC39" s="62"/>
      <c r="BD39" s="62"/>
      <c r="BE39" s="62"/>
      <c r="BF39" s="62"/>
      <c r="BG39" s="62"/>
      <c r="BH39" s="62"/>
      <c r="BI39" s="62"/>
      <c r="BJ39" s="62"/>
      <c r="BK39" s="62"/>
      <c r="BL39" s="62"/>
      <c r="BM39" s="62"/>
      <c r="BN39" s="62"/>
      <c r="BO39" s="62"/>
      <c r="BP39" s="62"/>
      <c r="BQ39" s="62"/>
      <c r="BR39" s="62"/>
      <c r="BS39" s="62"/>
      <c r="BT39" s="62"/>
      <c r="BU39" s="62"/>
      <c r="BV39" s="62"/>
      <c r="BW39" s="62"/>
      <c r="BX39" s="62"/>
      <c r="BY39" s="62"/>
      <c r="BZ39" s="62"/>
      <c r="CA39" s="62"/>
      <c r="CB39" s="62"/>
      <c r="CC39" s="62"/>
      <c r="CD39" s="62"/>
      <c r="CE39" s="62"/>
      <c r="CF39" s="62"/>
      <c r="CG39" s="62"/>
      <c r="CH39" s="62"/>
      <c r="CI39" s="62"/>
      <c r="CJ39" s="62"/>
      <c r="CK39" s="62"/>
      <c r="CL39" s="62"/>
      <c r="CM39" s="62"/>
      <c r="CN39" s="62"/>
      <c r="CO39" s="62"/>
      <c r="CP39" s="62"/>
      <c r="CQ39" s="62"/>
      <c r="CR39" s="62"/>
      <c r="CS39" s="62"/>
      <c r="CT39" s="62"/>
      <c r="CU39" s="62"/>
      <c r="CV39" s="62"/>
      <c r="CW39" s="62"/>
      <c r="CX39" s="62"/>
      <c r="CY39" s="62"/>
      <c r="CZ39" s="62"/>
      <c r="DA39" s="62"/>
      <c r="DB39" s="62"/>
      <c r="DC39" s="62"/>
      <c r="DD39" s="62"/>
      <c r="DE39" s="62"/>
      <c r="DF39" s="62"/>
      <c r="DG39" s="62"/>
      <c r="DH39" s="62"/>
      <c r="DI39" s="62"/>
      <c r="DJ39" s="62"/>
      <c r="DK39" s="62"/>
      <c r="DL39" s="62"/>
      <c r="DM39" s="62"/>
      <c r="DN39" s="62"/>
      <c r="DO39" s="62"/>
      <c r="DP39" s="62"/>
    </row>
    <row r="40" spans="1:120" s="3" customFormat="1" ht="21.6" thickBot="1" x14ac:dyDescent="0.35">
      <c r="A40" s="19"/>
      <c r="B40" s="86"/>
      <c r="C40" s="87"/>
      <c r="D40" s="83"/>
      <c r="E40" s="84"/>
      <c r="F40" s="85"/>
      <c r="G40" s="25"/>
      <c r="H40" s="25"/>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62"/>
      <c r="AS40" s="62"/>
      <c r="AT40" s="62"/>
      <c r="AU40" s="62"/>
      <c r="AV40" s="62"/>
      <c r="AW40" s="62"/>
      <c r="AX40" s="62"/>
      <c r="AY40" s="62"/>
      <c r="AZ40" s="62"/>
      <c r="BA40" s="62"/>
      <c r="BB40" s="62"/>
      <c r="BC40" s="62"/>
      <c r="BD40" s="62"/>
      <c r="BE40" s="62"/>
      <c r="BF40" s="62"/>
      <c r="BG40" s="62"/>
      <c r="BH40" s="62"/>
      <c r="BI40" s="62"/>
      <c r="BJ40" s="62"/>
      <c r="BK40" s="62"/>
      <c r="BL40" s="62"/>
      <c r="BM40" s="62"/>
      <c r="BN40" s="62"/>
      <c r="BO40" s="62"/>
      <c r="BP40" s="62"/>
      <c r="BQ40" s="62"/>
      <c r="BR40" s="62"/>
      <c r="BS40" s="62"/>
      <c r="BT40" s="62"/>
      <c r="BU40" s="62"/>
      <c r="BV40" s="62"/>
      <c r="BW40" s="62"/>
      <c r="BX40" s="62"/>
      <c r="BY40" s="62"/>
      <c r="BZ40" s="62"/>
      <c r="CA40" s="62"/>
      <c r="CB40" s="62"/>
      <c r="CC40" s="62"/>
      <c r="CD40" s="62"/>
      <c r="CE40" s="62"/>
      <c r="CF40" s="62"/>
      <c r="CG40" s="62"/>
      <c r="CH40" s="62"/>
      <c r="CI40" s="62"/>
      <c r="CJ40" s="62"/>
      <c r="CK40" s="62"/>
      <c r="CL40" s="62"/>
      <c r="CM40" s="62"/>
      <c r="CN40" s="62"/>
      <c r="CO40" s="62"/>
      <c r="CP40" s="62"/>
      <c r="CQ40" s="62"/>
      <c r="CR40" s="62"/>
      <c r="CS40" s="62"/>
      <c r="CT40" s="62"/>
      <c r="CU40" s="62"/>
      <c r="CV40" s="62"/>
      <c r="CW40" s="62"/>
      <c r="CX40" s="62"/>
      <c r="CY40" s="62"/>
      <c r="CZ40" s="62"/>
      <c r="DA40" s="62"/>
      <c r="DB40" s="62"/>
      <c r="DC40" s="62"/>
      <c r="DD40" s="62"/>
      <c r="DE40" s="62"/>
      <c r="DF40" s="62"/>
      <c r="DG40" s="62"/>
      <c r="DH40" s="62"/>
      <c r="DI40" s="62"/>
      <c r="DJ40" s="62"/>
      <c r="DK40" s="62"/>
      <c r="DL40" s="62"/>
      <c r="DM40" s="62"/>
      <c r="DN40" s="62"/>
      <c r="DO40" s="62"/>
      <c r="DP40" s="62"/>
    </row>
    <row r="41" spans="1:120" s="3" customFormat="1" ht="21.6" thickBot="1" x14ac:dyDescent="0.35">
      <c r="A41" s="19"/>
      <c r="B41" s="86"/>
      <c r="C41" s="87"/>
      <c r="D41" s="83"/>
      <c r="E41" s="84"/>
      <c r="F41" s="85"/>
      <c r="G41" s="25"/>
      <c r="H41" s="25"/>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c r="AY41" s="62"/>
      <c r="AZ41" s="62"/>
      <c r="BA41" s="62"/>
      <c r="BB41" s="62"/>
      <c r="BC41" s="62"/>
      <c r="BD41" s="62"/>
      <c r="BE41" s="62"/>
      <c r="BF41" s="62"/>
      <c r="BG41" s="62"/>
      <c r="BH41" s="62"/>
      <c r="BI41" s="62"/>
      <c r="BJ41" s="62"/>
      <c r="BK41" s="62"/>
      <c r="BL41" s="62"/>
      <c r="BM41" s="62"/>
      <c r="BN41" s="62"/>
      <c r="BO41" s="62"/>
      <c r="BP41" s="62"/>
      <c r="BQ41" s="62"/>
      <c r="BR41" s="62"/>
      <c r="BS41" s="62"/>
      <c r="BT41" s="62"/>
      <c r="BU41" s="62"/>
      <c r="BV41" s="62"/>
      <c r="BW41" s="62"/>
      <c r="BX41" s="62"/>
      <c r="BY41" s="62"/>
      <c r="BZ41" s="62"/>
      <c r="CA41" s="62"/>
      <c r="CB41" s="62"/>
      <c r="CC41" s="62"/>
      <c r="CD41" s="62"/>
      <c r="CE41" s="62"/>
      <c r="CF41" s="62"/>
      <c r="CG41" s="62"/>
      <c r="CH41" s="62"/>
      <c r="CI41" s="62"/>
      <c r="CJ41" s="62"/>
      <c r="CK41" s="62"/>
      <c r="CL41" s="62"/>
      <c r="CM41" s="62"/>
      <c r="CN41" s="62"/>
      <c r="CO41" s="62"/>
      <c r="CP41" s="62"/>
      <c r="CQ41" s="62"/>
      <c r="CR41" s="62"/>
      <c r="CS41" s="62"/>
      <c r="CT41" s="62"/>
      <c r="CU41" s="62"/>
      <c r="CV41" s="62"/>
      <c r="CW41" s="62"/>
      <c r="CX41" s="62"/>
      <c r="CY41" s="62"/>
      <c r="CZ41" s="62"/>
      <c r="DA41" s="62"/>
      <c r="DB41" s="62"/>
      <c r="DC41" s="62"/>
      <c r="DD41" s="62"/>
      <c r="DE41" s="62"/>
      <c r="DF41" s="62"/>
      <c r="DG41" s="62"/>
      <c r="DH41" s="62"/>
      <c r="DI41" s="62"/>
      <c r="DJ41" s="62"/>
      <c r="DK41" s="62"/>
      <c r="DL41" s="62"/>
      <c r="DM41" s="62"/>
      <c r="DN41" s="62"/>
      <c r="DO41" s="62"/>
      <c r="DP41" s="62"/>
    </row>
    <row r="42" spans="1:120" s="3" customFormat="1" ht="21.6" thickBot="1" x14ac:dyDescent="0.35">
      <c r="A42" s="19"/>
      <c r="B42" s="86"/>
      <c r="C42" s="87"/>
      <c r="D42" s="83"/>
      <c r="E42" s="84"/>
      <c r="F42" s="85"/>
      <c r="G42" s="25"/>
      <c r="H42" s="25"/>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2"/>
      <c r="BD42" s="62"/>
      <c r="BE42" s="62"/>
      <c r="BF42" s="62"/>
      <c r="BG42" s="62"/>
      <c r="BH42" s="62"/>
      <c r="BI42" s="62"/>
      <c r="BJ42" s="62"/>
      <c r="BK42" s="62"/>
      <c r="BL42" s="62"/>
      <c r="BM42" s="62"/>
      <c r="BN42" s="62"/>
      <c r="BO42" s="62"/>
      <c r="BP42" s="62"/>
      <c r="BQ42" s="62"/>
      <c r="BR42" s="62"/>
      <c r="BS42" s="62"/>
      <c r="BT42" s="62"/>
      <c r="BU42" s="62"/>
      <c r="BV42" s="62"/>
      <c r="BW42" s="62"/>
      <c r="BX42" s="62"/>
      <c r="BY42" s="62"/>
      <c r="BZ42" s="62"/>
      <c r="CA42" s="62"/>
      <c r="CB42" s="62"/>
      <c r="CC42" s="62"/>
      <c r="CD42" s="62"/>
      <c r="CE42" s="62"/>
      <c r="CF42" s="62"/>
      <c r="CG42" s="62"/>
      <c r="CH42" s="62"/>
      <c r="CI42" s="62"/>
      <c r="CJ42" s="62"/>
      <c r="CK42" s="62"/>
      <c r="CL42" s="62"/>
      <c r="CM42" s="62"/>
      <c r="CN42" s="62"/>
      <c r="CO42" s="62"/>
      <c r="CP42" s="62"/>
      <c r="CQ42" s="62"/>
      <c r="CR42" s="62"/>
      <c r="CS42" s="62"/>
      <c r="CT42" s="62"/>
      <c r="CU42" s="62"/>
      <c r="CV42" s="62"/>
      <c r="CW42" s="62"/>
      <c r="CX42" s="62"/>
      <c r="CY42" s="62"/>
      <c r="CZ42" s="62"/>
      <c r="DA42" s="62"/>
      <c r="DB42" s="62"/>
      <c r="DC42" s="62"/>
      <c r="DD42" s="62"/>
      <c r="DE42" s="62"/>
      <c r="DF42" s="62"/>
      <c r="DG42" s="62"/>
      <c r="DH42" s="62"/>
      <c r="DI42" s="62"/>
      <c r="DJ42" s="62"/>
      <c r="DK42" s="62"/>
      <c r="DL42" s="62"/>
      <c r="DM42" s="62"/>
      <c r="DN42" s="62"/>
      <c r="DO42" s="62"/>
      <c r="DP42" s="62"/>
    </row>
    <row r="43" spans="1:120" s="3" customFormat="1" ht="21.6" thickBot="1" x14ac:dyDescent="0.35">
      <c r="A43" s="19"/>
      <c r="B43" s="20"/>
      <c r="C43" s="21"/>
      <c r="D43" s="22"/>
      <c r="E43" s="23"/>
      <c r="F43" s="24"/>
      <c r="G43" s="25"/>
      <c r="H43" s="25"/>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2"/>
      <c r="BK43" s="62"/>
      <c r="BL43" s="62"/>
      <c r="BM43" s="62"/>
      <c r="BN43" s="62"/>
      <c r="BO43" s="62"/>
      <c r="BP43" s="62"/>
      <c r="BQ43" s="62"/>
      <c r="BR43" s="62"/>
      <c r="BS43" s="62"/>
      <c r="BT43" s="62"/>
      <c r="BU43" s="62"/>
      <c r="BV43" s="62"/>
      <c r="BW43" s="62"/>
      <c r="BX43" s="62"/>
      <c r="BY43" s="62"/>
      <c r="BZ43" s="62"/>
      <c r="CA43" s="62"/>
      <c r="CB43" s="62"/>
      <c r="CC43" s="62"/>
      <c r="CD43" s="62"/>
      <c r="CE43" s="62"/>
      <c r="CF43" s="62"/>
      <c r="CG43" s="62"/>
      <c r="CH43" s="62"/>
      <c r="CI43" s="62"/>
      <c r="CJ43" s="62"/>
      <c r="CK43" s="62"/>
      <c r="CL43" s="62"/>
      <c r="CM43" s="62"/>
      <c r="CN43" s="62"/>
      <c r="CO43" s="62"/>
      <c r="CP43" s="62"/>
      <c r="CQ43" s="62"/>
      <c r="CR43" s="62"/>
      <c r="CS43" s="62"/>
      <c r="CT43" s="62"/>
      <c r="CU43" s="62"/>
      <c r="CV43" s="62"/>
      <c r="CW43" s="62"/>
      <c r="CX43" s="62"/>
      <c r="CY43" s="62"/>
      <c r="CZ43" s="62"/>
      <c r="DA43" s="62"/>
      <c r="DB43" s="62"/>
      <c r="DC43" s="62"/>
      <c r="DD43" s="62"/>
      <c r="DE43" s="62"/>
      <c r="DF43" s="62"/>
      <c r="DG43" s="62"/>
      <c r="DH43" s="62"/>
      <c r="DI43" s="62"/>
      <c r="DJ43" s="62"/>
      <c r="DK43" s="62"/>
      <c r="DL43" s="62"/>
      <c r="DM43" s="62"/>
      <c r="DN43" s="62"/>
      <c r="DO43" s="62"/>
      <c r="DP43" s="62"/>
    </row>
    <row r="44" spans="1:120" s="3" customFormat="1" ht="21.6" thickBot="1" x14ac:dyDescent="0.35">
      <c r="A44" s="19"/>
      <c r="B44" s="20"/>
      <c r="C44" s="21"/>
      <c r="D44" s="22"/>
      <c r="E44" s="23"/>
      <c r="F44" s="24"/>
      <c r="G44" s="25"/>
      <c r="H44" s="25"/>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2"/>
      <c r="BJ44" s="62"/>
      <c r="BK44" s="62"/>
      <c r="BL44" s="62"/>
      <c r="BM44" s="62"/>
      <c r="BN44" s="62"/>
      <c r="BO44" s="62"/>
      <c r="BP44" s="62"/>
      <c r="BQ44" s="62"/>
      <c r="BR44" s="62"/>
      <c r="BS44" s="62"/>
      <c r="BT44" s="62"/>
      <c r="BU44" s="62"/>
      <c r="BV44" s="62"/>
      <c r="BW44" s="62"/>
      <c r="BX44" s="62"/>
      <c r="BY44" s="62"/>
      <c r="BZ44" s="62"/>
      <c r="CA44" s="62"/>
      <c r="CB44" s="62"/>
      <c r="CC44" s="62"/>
      <c r="CD44" s="62"/>
      <c r="CE44" s="62"/>
      <c r="CF44" s="62"/>
      <c r="CG44" s="62"/>
      <c r="CH44" s="62"/>
      <c r="CI44" s="62"/>
      <c r="CJ44" s="62"/>
      <c r="CK44" s="62"/>
      <c r="CL44" s="62"/>
      <c r="CM44" s="62"/>
      <c r="CN44" s="62"/>
      <c r="CO44" s="62"/>
      <c r="CP44" s="62"/>
      <c r="CQ44" s="62"/>
      <c r="CR44" s="62"/>
      <c r="CS44" s="62"/>
      <c r="CT44" s="62"/>
      <c r="CU44" s="62"/>
      <c r="CV44" s="62"/>
      <c r="CW44" s="62"/>
      <c r="CX44" s="62"/>
      <c r="CY44" s="62"/>
      <c r="CZ44" s="62"/>
      <c r="DA44" s="62"/>
      <c r="DB44" s="62"/>
      <c r="DC44" s="62"/>
      <c r="DD44" s="62"/>
      <c r="DE44" s="62"/>
      <c r="DF44" s="62"/>
      <c r="DG44" s="62"/>
      <c r="DH44" s="62"/>
      <c r="DI44" s="62"/>
      <c r="DJ44" s="62"/>
      <c r="DK44" s="62"/>
      <c r="DL44" s="62"/>
      <c r="DM44" s="62"/>
      <c r="DN44" s="62"/>
      <c r="DO44" s="62"/>
      <c r="DP44" s="62"/>
    </row>
    <row r="45" spans="1:120" s="3" customFormat="1" ht="21.6" thickBot="1" x14ac:dyDescent="0.35">
      <c r="A45" s="19"/>
      <c r="B45" s="20"/>
      <c r="C45" s="21"/>
      <c r="D45" s="22"/>
      <c r="E45" s="23"/>
      <c r="F45" s="24"/>
      <c r="G45" s="25"/>
      <c r="H45" s="25"/>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62"/>
      <c r="AY45" s="62"/>
      <c r="AZ45" s="62"/>
      <c r="BA45" s="62"/>
      <c r="BB45" s="62"/>
      <c r="BC45" s="62"/>
      <c r="BD45" s="62"/>
      <c r="BE45" s="62"/>
      <c r="BF45" s="62"/>
      <c r="BG45" s="62"/>
      <c r="BH45" s="62"/>
      <c r="BI45" s="62"/>
      <c r="BJ45" s="62"/>
      <c r="BK45" s="62"/>
      <c r="BL45" s="62"/>
      <c r="BM45" s="62"/>
      <c r="BN45" s="62"/>
      <c r="BO45" s="62"/>
      <c r="BP45" s="62"/>
      <c r="BQ45" s="62"/>
      <c r="BR45" s="62"/>
      <c r="BS45" s="62"/>
      <c r="BT45" s="62"/>
      <c r="BU45" s="62"/>
      <c r="BV45" s="62"/>
      <c r="BW45" s="62"/>
      <c r="BX45" s="62"/>
      <c r="BY45" s="62"/>
      <c r="BZ45" s="62"/>
      <c r="CA45" s="62"/>
      <c r="CB45" s="62"/>
      <c r="CC45" s="62"/>
      <c r="CD45" s="62"/>
      <c r="CE45" s="62"/>
      <c r="CF45" s="62"/>
      <c r="CG45" s="62"/>
      <c r="CH45" s="62"/>
      <c r="CI45" s="62"/>
      <c r="CJ45" s="62"/>
      <c r="CK45" s="62"/>
      <c r="CL45" s="62"/>
      <c r="CM45" s="62"/>
      <c r="CN45" s="62"/>
      <c r="CO45" s="62"/>
      <c r="CP45" s="62"/>
      <c r="CQ45" s="62"/>
      <c r="CR45" s="62"/>
      <c r="CS45" s="62"/>
      <c r="CT45" s="62"/>
      <c r="CU45" s="62"/>
      <c r="CV45" s="62"/>
      <c r="CW45" s="62"/>
      <c r="CX45" s="62"/>
      <c r="CY45" s="62"/>
      <c r="CZ45" s="62"/>
      <c r="DA45" s="62"/>
      <c r="DB45" s="62"/>
      <c r="DC45" s="62"/>
      <c r="DD45" s="62"/>
      <c r="DE45" s="62"/>
      <c r="DF45" s="62"/>
      <c r="DG45" s="62"/>
      <c r="DH45" s="62"/>
      <c r="DI45" s="62"/>
      <c r="DJ45" s="62"/>
      <c r="DK45" s="62"/>
      <c r="DL45" s="62"/>
      <c r="DM45" s="62"/>
      <c r="DN45" s="62"/>
      <c r="DO45" s="62"/>
      <c r="DP45" s="62"/>
    </row>
    <row r="46" spans="1:120" s="3" customFormat="1" ht="21.6" thickBot="1" x14ac:dyDescent="0.35">
      <c r="A46" s="19"/>
      <c r="B46" s="56" t="s">
        <v>0</v>
      </c>
      <c r="C46" s="57"/>
      <c r="D46" s="58"/>
      <c r="E46" s="59"/>
      <c r="F46" s="60"/>
      <c r="G46" s="61"/>
      <c r="H46" s="61" t="str">
        <f t="shared" si="62"/>
        <v/>
      </c>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64"/>
      <c r="BM46" s="64"/>
      <c r="BN46" s="64"/>
      <c r="BO46" s="64"/>
      <c r="BP46" s="64"/>
      <c r="BQ46" s="64"/>
      <c r="BR46" s="64"/>
      <c r="BS46" s="64"/>
      <c r="BT46" s="64"/>
      <c r="BU46" s="64"/>
      <c r="BV46" s="64"/>
      <c r="BW46" s="64"/>
      <c r="BX46" s="64"/>
      <c r="BY46" s="64"/>
      <c r="BZ46" s="64"/>
      <c r="CA46" s="64"/>
      <c r="CB46" s="64"/>
      <c r="CC46" s="64"/>
      <c r="CD46" s="64"/>
      <c r="CE46" s="64"/>
      <c r="CF46" s="64"/>
      <c r="CG46" s="64"/>
      <c r="CH46" s="64"/>
      <c r="CI46" s="64"/>
      <c r="CJ46" s="64"/>
      <c r="CK46" s="64"/>
      <c r="CL46" s="64"/>
      <c r="CM46" s="64"/>
      <c r="CN46" s="64"/>
      <c r="CO46" s="64"/>
      <c r="CP46" s="64"/>
      <c r="CQ46" s="64"/>
      <c r="CR46" s="64"/>
      <c r="CS46" s="64"/>
      <c r="CT46" s="64"/>
      <c r="CU46" s="64"/>
      <c r="CV46" s="64"/>
      <c r="CW46" s="64"/>
      <c r="CX46" s="64"/>
      <c r="CY46" s="64"/>
      <c r="CZ46" s="64"/>
      <c r="DA46" s="64"/>
      <c r="DB46" s="64"/>
      <c r="DC46" s="64"/>
      <c r="DD46" s="64"/>
      <c r="DE46" s="64"/>
      <c r="DF46" s="64"/>
      <c r="DG46" s="64"/>
      <c r="DH46" s="64"/>
      <c r="DI46" s="64"/>
      <c r="DJ46" s="64"/>
      <c r="DK46" s="64"/>
      <c r="DL46" s="64"/>
      <c r="DM46" s="64"/>
      <c r="DN46" s="64"/>
      <c r="DO46" s="64"/>
      <c r="DP46" s="64"/>
    </row>
    <row r="47" spans="1:120" x14ac:dyDescent="0.3">
      <c r="A47" s="6"/>
      <c r="G47" s="6"/>
    </row>
    <row r="48" spans="1:120" x14ac:dyDescent="0.3">
      <c r="B48" s="17" t="s">
        <v>12</v>
      </c>
      <c r="C48" s="17"/>
      <c r="F48" s="75">
        <v>43113</v>
      </c>
    </row>
    <row r="49" spans="2:3" x14ac:dyDescent="0.3">
      <c r="B49" s="79" t="s">
        <v>17</v>
      </c>
      <c r="C49" s="18"/>
    </row>
    <row r="50" spans="2:3" x14ac:dyDescent="0.3">
      <c r="B50" s="78" t="s">
        <v>23</v>
      </c>
    </row>
  </sheetData>
  <mergeCells count="19">
    <mergeCell ref="CV4:DB4"/>
    <mergeCell ref="DC4:DI4"/>
    <mergeCell ref="DJ4:DP4"/>
    <mergeCell ref="BM4:BS4"/>
    <mergeCell ref="BT4:BZ4"/>
    <mergeCell ref="CA4:CG4"/>
    <mergeCell ref="CH4:CN4"/>
    <mergeCell ref="CO4:CU4"/>
    <mergeCell ref="E2:F2"/>
    <mergeCell ref="I4:O4"/>
    <mergeCell ref="P4:V4"/>
    <mergeCell ref="W4:AC4"/>
    <mergeCell ref="AD4:AJ4"/>
    <mergeCell ref="E3:F3"/>
    <mergeCell ref="J1:AA1"/>
    <mergeCell ref="AK4:AQ4"/>
    <mergeCell ref="AR4:AX4"/>
    <mergeCell ref="AY4:BE4"/>
    <mergeCell ref="BF4:BL4"/>
  </mergeCells>
  <conditionalFormatting sqref="D7:D46">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DP46">
    <cfRule type="expression" dxfId="2" priority="27">
      <formula>AND(today&gt;=I$5,today&lt;I$5+1)</formula>
    </cfRule>
  </conditionalFormatting>
  <conditionalFormatting sqref="I7:DP46">
    <cfRule type="expression" dxfId="1" priority="25">
      <formula>AND(task_start&lt;=I$5,ROUNDDOWN((task_end-task_start+1)*task_progress,0)+task_start-1&gt;=I$5)</formula>
    </cfRule>
    <cfRule type="expression" dxfId="0" priority="26"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B49" r:id="rId1" xr:uid="{00000000-0004-0000-0000-000000000000}"/>
    <hyperlink ref="B48" r:id="rId2" xr:uid="{00000000-0004-0000-0000-000001000000}"/>
  </hyperlinks>
  <pageMargins left="0.35" right="0.35" top="0.35" bottom="0.5" header="0.3" footer="0.3"/>
  <pageSetup scale="62" fitToHeight="0" orientation="landscape" r:id="rId3"/>
  <headerFooter scaleWithDoc="0"/>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09375" defaultRowHeight="13.8" x14ac:dyDescent="0.3"/>
  <cols>
    <col min="1" max="1" width="2.88671875" style="2" customWidth="1"/>
    <col min="2" max="2" width="87.109375" style="65" customWidth="1"/>
    <col min="3" max="16384" width="9.109375" style="2"/>
  </cols>
  <sheetData>
    <row r="1" spans="2:3" ht="46.5" customHeight="1" x14ac:dyDescent="0.3"/>
    <row r="2" spans="2:3" s="67" customFormat="1" ht="15.6" x14ac:dyDescent="0.3">
      <c r="B2" s="66" t="s">
        <v>12</v>
      </c>
      <c r="C2" s="66"/>
    </row>
    <row r="3" spans="2:3" s="69" customFormat="1" ht="13.5" customHeight="1" x14ac:dyDescent="0.3">
      <c r="B3" s="68" t="s">
        <v>17</v>
      </c>
      <c r="C3" s="68"/>
    </row>
    <row r="4" spans="2:3" x14ac:dyDescent="0.3">
      <c r="B4" s="77" t="s">
        <v>23</v>
      </c>
    </row>
    <row r="6" spans="2:3" s="70" customFormat="1" ht="25.8" x14ac:dyDescent="0.5">
      <c r="B6" s="72" t="s">
        <v>11</v>
      </c>
    </row>
    <row r="7" spans="2:3" ht="57.6" x14ac:dyDescent="0.3">
      <c r="B7" s="73" t="s">
        <v>20</v>
      </c>
    </row>
    <row r="8" spans="2:3" ht="14.4" x14ac:dyDescent="0.3">
      <c r="B8" s="71"/>
    </row>
    <row r="9" spans="2:3" s="70" customFormat="1" ht="25.8" x14ac:dyDescent="0.5">
      <c r="B9" s="72" t="s">
        <v>13</v>
      </c>
    </row>
    <row r="10" spans="2:3" ht="57.6" x14ac:dyDescent="0.3">
      <c r="B10" s="73" t="s">
        <v>21</v>
      </c>
    </row>
    <row r="11" spans="2:3" ht="14.4" x14ac:dyDescent="0.3">
      <c r="B11" s="74" t="s">
        <v>19</v>
      </c>
    </row>
    <row r="12" spans="2:3" ht="14.4" x14ac:dyDescent="0.3">
      <c r="B12" s="71"/>
    </row>
    <row r="13" spans="2:3" ht="14.4" x14ac:dyDescent="0.3">
      <c r="B13" s="80" t="str">
        <f>HYPERLINK("https://vertex42.link/HowToMakeAGanttChart","► Watch How This Gantt Chart Was Created")</f>
        <v>► Watch How This Gantt Chart Was Created</v>
      </c>
    </row>
    <row r="14" spans="2:3" ht="14.4" x14ac:dyDescent="0.3">
      <c r="B14" s="71"/>
    </row>
    <row r="15" spans="2:3" s="70" customFormat="1" ht="25.8" x14ac:dyDescent="0.5">
      <c r="B15" s="72" t="s">
        <v>10</v>
      </c>
    </row>
    <row r="16" spans="2:3" ht="28.8" x14ac:dyDescent="0.3">
      <c r="B16" s="73" t="s">
        <v>18</v>
      </c>
    </row>
    <row r="17" spans="2:2" ht="14.4" x14ac:dyDescent="0.3">
      <c r="B17" s="74" t="s">
        <v>3</v>
      </c>
    </row>
    <row r="18" spans="2:2" ht="14.4" x14ac:dyDescent="0.3">
      <c r="B18" s="71"/>
    </row>
    <row r="19" spans="2:2" s="70" customFormat="1" ht="25.8" x14ac:dyDescent="0.5">
      <c r="B19" s="72" t="s">
        <v>14</v>
      </c>
    </row>
    <row r="20" spans="2:2" ht="57.6" x14ac:dyDescent="0.3">
      <c r="B20" s="73" t="s">
        <v>15</v>
      </c>
    </row>
    <row r="21" spans="2:2" ht="14.4" x14ac:dyDescent="0.3">
      <c r="B21" s="71"/>
    </row>
    <row r="22" spans="2:2" ht="72" x14ac:dyDescent="0.3">
      <c r="B22" s="73" t="s">
        <v>16</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ProjectSchedule!Print_Area</vt:lpstr>
      <vt:lpstr>ProjectSchedule!Print_Titles</vt:lpstr>
      <vt:lpstr>ProjectSchedule!task_end</vt:lpstr>
      <vt:lpstr>ProjectSchedule!task_progress</vt:lpstr>
      <vt:lpstr>ProjectSchedule!task_start</vt:lpstr>
      <vt:lpstr>ProjectSchedule!today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creator>Vertex42.com</dc:creator>
  <dc:description>© 2018-2019 Vertex42 LLC. All Rights Reserved.</dc:description>
  <cp:lastModifiedBy>Oliver Myers</cp:lastModifiedBy>
  <cp:lastPrinted>2019-04-24T14:39:40Z</cp:lastPrinted>
  <dcterms:created xsi:type="dcterms:W3CDTF">2017-01-09T18:01:51Z</dcterms:created>
  <dcterms:modified xsi:type="dcterms:W3CDTF">2026-04-28T16:34:52Z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